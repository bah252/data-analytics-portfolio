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kan\Documents\"/>
    </mc:Choice>
  </mc:AlternateContent>
  <bookViews>
    <workbookView xWindow="0" yWindow="0" windowWidth="23040" windowHeight="11772" activeTab="3"/>
  </bookViews>
  <sheets>
    <sheet name="nigerian messy data sales" sheetId="5" r:id="rId1"/>
    <sheet name="cleaned data" sheetId="2" r:id="rId2"/>
    <sheet name="Sheet3" sheetId="7" r:id="rId3"/>
    <sheet name="Sheet1" sheetId="8" r:id="rId4"/>
  </sheets>
  <definedNames>
    <definedName name="Slicer_Product">#N/A</definedName>
    <definedName name="Slicer_Sales_Channel">#N/A</definedName>
    <definedName name="Slicer_State">#N/A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51" i="2" l="1"/>
  <c r="F550" i="2"/>
  <c r="F549" i="2"/>
  <c r="F548" i="2"/>
  <c r="F545" i="2"/>
  <c r="F544" i="2"/>
  <c r="F542" i="2"/>
  <c r="F541" i="2"/>
  <c r="F540" i="2"/>
  <c r="F538" i="2"/>
  <c r="F537" i="2"/>
  <c r="F536" i="2"/>
  <c r="F535" i="2"/>
  <c r="F534" i="2"/>
  <c r="F533" i="2"/>
  <c r="F532" i="2"/>
  <c r="F531" i="2"/>
  <c r="F528" i="2"/>
  <c r="F527" i="2"/>
  <c r="F526" i="2"/>
  <c r="F525" i="2"/>
  <c r="F523" i="2"/>
  <c r="F522" i="2"/>
  <c r="F521" i="2"/>
  <c r="F520" i="2"/>
  <c r="F518" i="2"/>
  <c r="F516" i="2"/>
  <c r="F514" i="2"/>
  <c r="F513" i="2"/>
  <c r="F512" i="2"/>
  <c r="F509" i="2"/>
  <c r="F508" i="2"/>
  <c r="F506" i="2"/>
  <c r="F505" i="2"/>
  <c r="F502" i="2"/>
  <c r="F501" i="2"/>
  <c r="F500" i="2"/>
  <c r="F499" i="2"/>
  <c r="F498" i="2"/>
  <c r="F497" i="2"/>
  <c r="F496" i="2"/>
  <c r="F495" i="2"/>
  <c r="F493" i="2"/>
  <c r="F492" i="2"/>
  <c r="F491" i="2"/>
  <c r="F489" i="2"/>
  <c r="F488" i="2"/>
  <c r="F487" i="2"/>
  <c r="F485" i="2"/>
  <c r="F484" i="2"/>
  <c r="F483" i="2"/>
  <c r="F482" i="2"/>
  <c r="F481" i="2"/>
  <c r="F480" i="2"/>
  <c r="F479" i="2"/>
  <c r="F478" i="2"/>
  <c r="F475" i="2"/>
  <c r="F474" i="2"/>
  <c r="F473" i="2"/>
  <c r="F472" i="2"/>
  <c r="F471" i="2"/>
  <c r="F469" i="2"/>
  <c r="F468" i="2"/>
  <c r="F467" i="2"/>
  <c r="F465" i="2"/>
  <c r="F462" i="2"/>
  <c r="F460" i="2"/>
  <c r="F456" i="2"/>
  <c r="F454" i="2"/>
  <c r="F453" i="2"/>
  <c r="F452" i="2"/>
  <c r="F451" i="2"/>
  <c r="F450" i="2"/>
  <c r="F448" i="2"/>
  <c r="F446" i="2"/>
  <c r="F445" i="2"/>
  <c r="F444" i="2"/>
  <c r="F443" i="2"/>
  <c r="F442" i="2"/>
  <c r="F439" i="2"/>
  <c r="F438" i="2"/>
  <c r="F437" i="2"/>
  <c r="F436" i="2"/>
  <c r="F433" i="2"/>
  <c r="F432" i="2"/>
  <c r="F431" i="2"/>
  <c r="F430" i="2"/>
  <c r="F429" i="2"/>
  <c r="F428" i="2"/>
  <c r="F426" i="2"/>
  <c r="F425" i="2"/>
  <c r="F423" i="2"/>
  <c r="F422" i="2"/>
  <c r="F419" i="2"/>
  <c r="F418" i="2"/>
  <c r="F417" i="2"/>
  <c r="F416" i="2"/>
  <c r="F414" i="2"/>
  <c r="F413" i="2"/>
  <c r="F412" i="2"/>
  <c r="F410" i="2"/>
  <c r="F409" i="2"/>
  <c r="F408" i="2"/>
  <c r="F405" i="2"/>
  <c r="F404" i="2"/>
  <c r="F403" i="2"/>
  <c r="F402" i="2"/>
  <c r="F401" i="2"/>
  <c r="F400" i="2"/>
  <c r="F399" i="2"/>
  <c r="F396" i="2"/>
  <c r="F393" i="2"/>
  <c r="F392" i="2"/>
  <c r="F391" i="2"/>
  <c r="F389" i="2"/>
  <c r="F388" i="2"/>
  <c r="F387" i="2"/>
  <c r="F385" i="2"/>
  <c r="F384" i="2"/>
  <c r="F383" i="2"/>
  <c r="F382" i="2"/>
  <c r="F381" i="2"/>
  <c r="F380" i="2"/>
  <c r="F378" i="2"/>
  <c r="F377" i="2"/>
  <c r="F376" i="2"/>
  <c r="F374" i="2"/>
  <c r="F373" i="2"/>
  <c r="F372" i="2"/>
  <c r="F371" i="2"/>
  <c r="F369" i="2"/>
  <c r="F368" i="2"/>
  <c r="F367" i="2"/>
  <c r="F365" i="2"/>
  <c r="F363" i="2"/>
  <c r="F362" i="2"/>
  <c r="F360" i="2"/>
  <c r="F359" i="2"/>
  <c r="F358" i="2"/>
  <c r="F355" i="2"/>
  <c r="F354" i="2"/>
  <c r="F353" i="2"/>
  <c r="F352" i="2"/>
  <c r="F351" i="2"/>
  <c r="F350" i="2"/>
  <c r="F349" i="2"/>
  <c r="F348" i="2"/>
  <c r="F347" i="2"/>
  <c r="F345" i="2"/>
  <c r="F344" i="2"/>
  <c r="F343" i="2"/>
  <c r="F342" i="2"/>
  <c r="F341" i="2"/>
  <c r="F340" i="2"/>
  <c r="F339" i="2"/>
  <c r="F338" i="2"/>
  <c r="F337" i="2"/>
  <c r="F336" i="2"/>
  <c r="F334" i="2"/>
  <c r="F333" i="2"/>
  <c r="F332" i="2"/>
  <c r="F331" i="2"/>
  <c r="F330" i="2"/>
  <c r="F328" i="2"/>
  <c r="F327" i="2"/>
  <c r="F325" i="2"/>
  <c r="F324" i="2"/>
  <c r="F323" i="2"/>
  <c r="F322" i="2"/>
  <c r="F321" i="2"/>
  <c r="F320" i="2"/>
  <c r="F318" i="2"/>
  <c r="F317" i="2"/>
  <c r="F315" i="2"/>
  <c r="F314" i="2"/>
  <c r="F313" i="2"/>
  <c r="F312" i="2"/>
  <c r="F311" i="2"/>
  <c r="F307" i="2"/>
  <c r="F306" i="2"/>
  <c r="F305" i="2"/>
  <c r="F304" i="2"/>
  <c r="F302" i="2"/>
  <c r="F301" i="2"/>
  <c r="F300" i="2"/>
  <c r="F296" i="2"/>
  <c r="F293" i="2"/>
  <c r="F292" i="2"/>
  <c r="F290" i="2"/>
  <c r="F288" i="2"/>
  <c r="F287" i="2"/>
  <c r="F285" i="2"/>
  <c r="F284" i="2"/>
  <c r="F283" i="2"/>
  <c r="F282" i="2"/>
  <c r="F280" i="2"/>
  <c r="F279" i="2"/>
  <c r="F278" i="2"/>
  <c r="F277" i="2"/>
  <c r="F276" i="2"/>
  <c r="F275" i="2"/>
  <c r="F274" i="2"/>
  <c r="F272" i="2"/>
  <c r="F271" i="2"/>
  <c r="F270" i="2"/>
  <c r="F269" i="2"/>
  <c r="F268" i="2"/>
  <c r="F267" i="2"/>
  <c r="F265" i="2"/>
  <c r="F264" i="2"/>
  <c r="F262" i="2"/>
  <c r="F261" i="2"/>
  <c r="F260" i="2"/>
  <c r="F259" i="2"/>
  <c r="F258" i="2"/>
  <c r="F257" i="2"/>
  <c r="F256" i="2"/>
  <c r="F255" i="2"/>
  <c r="F252" i="2"/>
  <c r="F251" i="2"/>
  <c r="F249" i="2"/>
  <c r="F248" i="2"/>
  <c r="F247" i="2"/>
  <c r="F246" i="2"/>
  <c r="F245" i="2"/>
  <c r="F244" i="2"/>
  <c r="F243" i="2"/>
  <c r="F242" i="2"/>
  <c r="F241" i="2"/>
  <c r="F240" i="2"/>
  <c r="F239" i="2"/>
  <c r="F237" i="2"/>
  <c r="F236" i="2"/>
  <c r="F235" i="2"/>
  <c r="F234" i="2"/>
  <c r="F232" i="2"/>
  <c r="F231" i="2"/>
  <c r="F230" i="2"/>
  <c r="F229" i="2"/>
  <c r="F228" i="2"/>
  <c r="F227" i="2"/>
  <c r="F226" i="2"/>
  <c r="F225" i="2"/>
  <c r="F224" i="2"/>
  <c r="F223" i="2"/>
  <c r="F222" i="2"/>
  <c r="F221" i="2"/>
  <c r="F219" i="2"/>
  <c r="F218" i="2"/>
  <c r="F217" i="2"/>
  <c r="F215" i="2"/>
  <c r="F213" i="2"/>
  <c r="F212" i="2"/>
  <c r="F210" i="2"/>
  <c r="F209" i="2"/>
  <c r="F208" i="2"/>
  <c r="F207" i="2"/>
  <c r="F206" i="2"/>
  <c r="F205" i="2"/>
  <c r="F204" i="2"/>
  <c r="F203" i="2"/>
  <c r="F202" i="2"/>
  <c r="F200" i="2"/>
  <c r="F198" i="2"/>
  <c r="F196" i="2"/>
  <c r="F195" i="2"/>
  <c r="F194" i="2"/>
  <c r="F193" i="2"/>
  <c r="F192" i="2"/>
  <c r="F190" i="2"/>
  <c r="F189" i="2"/>
  <c r="F188" i="2"/>
  <c r="F187" i="2"/>
  <c r="F186" i="2"/>
  <c r="F185" i="2"/>
  <c r="F184" i="2"/>
  <c r="F183" i="2"/>
  <c r="F182" i="2"/>
  <c r="F181" i="2"/>
  <c r="F178" i="2"/>
  <c r="F175" i="2"/>
  <c r="F174" i="2"/>
  <c r="F173" i="2"/>
  <c r="F172" i="2"/>
  <c r="F171" i="2"/>
  <c r="F169" i="2"/>
  <c r="F168" i="2"/>
  <c r="F167" i="2"/>
  <c r="F165" i="2"/>
  <c r="F164" i="2"/>
  <c r="F162" i="2"/>
  <c r="F161" i="2"/>
  <c r="F160" i="2"/>
  <c r="F159" i="2"/>
  <c r="F158" i="2"/>
  <c r="F157" i="2"/>
  <c r="F156" i="2"/>
  <c r="F155" i="2"/>
  <c r="F154" i="2"/>
  <c r="F153" i="2"/>
  <c r="F152" i="2"/>
  <c r="F151" i="2"/>
  <c r="F150" i="2"/>
  <c r="F148" i="2"/>
  <c r="F147" i="2"/>
  <c r="F146" i="2"/>
  <c r="F145" i="2"/>
  <c r="F143" i="2"/>
  <c r="F142" i="2"/>
  <c r="F141" i="2"/>
  <c r="F140" i="2"/>
  <c r="F138" i="2"/>
  <c r="F136" i="2"/>
  <c r="F134" i="2"/>
  <c r="F133" i="2"/>
  <c r="F132" i="2"/>
  <c r="F131" i="2"/>
  <c r="F129" i="2"/>
  <c r="F128" i="2"/>
  <c r="F127" i="2"/>
  <c r="F126" i="2"/>
  <c r="F125" i="2"/>
  <c r="F124" i="2"/>
  <c r="F123" i="2"/>
  <c r="F122" i="2"/>
  <c r="F121" i="2"/>
  <c r="F118" i="2"/>
  <c r="F117" i="2"/>
  <c r="F116" i="2"/>
  <c r="F114" i="2"/>
  <c r="F113" i="2"/>
  <c r="F112" i="2"/>
  <c r="F110" i="2"/>
  <c r="F108" i="2"/>
  <c r="F107" i="2"/>
  <c r="F105" i="2"/>
  <c r="F104" i="2"/>
  <c r="F103" i="2"/>
  <c r="F102" i="2"/>
  <c r="F101" i="2"/>
  <c r="F100" i="2"/>
  <c r="F99" i="2"/>
  <c r="F98" i="2"/>
  <c r="F97" i="2"/>
  <c r="F96" i="2"/>
  <c r="F94" i="2"/>
  <c r="F93" i="2"/>
  <c r="F92" i="2"/>
  <c r="F90" i="2"/>
  <c r="F88" i="2"/>
  <c r="F87" i="2"/>
  <c r="F86" i="2"/>
  <c r="F84" i="2"/>
  <c r="F83" i="2"/>
  <c r="F82" i="2"/>
  <c r="F81" i="2"/>
  <c r="F80" i="2"/>
  <c r="F79" i="2"/>
  <c r="F78" i="2"/>
  <c r="F77" i="2"/>
  <c r="F76" i="2"/>
  <c r="F75" i="2"/>
  <c r="F72" i="2"/>
  <c r="F71" i="2"/>
  <c r="F70" i="2"/>
  <c r="F69" i="2"/>
  <c r="F67" i="2"/>
  <c r="F66" i="2"/>
  <c r="F65" i="2"/>
  <c r="F64" i="2"/>
  <c r="F62" i="2"/>
  <c r="F61" i="2"/>
  <c r="F60" i="2"/>
  <c r="F59" i="2"/>
  <c r="F58" i="2"/>
  <c r="F57" i="2"/>
  <c r="F56" i="2"/>
  <c r="F55" i="2"/>
  <c r="F54" i="2"/>
  <c r="F53" i="2"/>
  <c r="F52" i="2"/>
  <c r="F50" i="2"/>
  <c r="F48" i="2"/>
  <c r="F47" i="2"/>
  <c r="F46" i="2"/>
  <c r="F45" i="2"/>
  <c r="F43" i="2"/>
  <c r="F42" i="2"/>
  <c r="F41" i="2"/>
  <c r="F38" i="2"/>
  <c r="F37" i="2"/>
  <c r="F36" i="2"/>
  <c r="F35" i="2"/>
  <c r="F32" i="2"/>
  <c r="F30" i="2"/>
  <c r="F28" i="2"/>
  <c r="F27" i="2"/>
  <c r="F25" i="2"/>
  <c r="F23" i="2"/>
  <c r="F22" i="2"/>
  <c r="F18" i="2"/>
  <c r="F17" i="2"/>
  <c r="F15" i="2"/>
  <c r="F12" i="2"/>
  <c r="F11" i="2"/>
  <c r="F10" i="2"/>
  <c r="F9" i="2"/>
  <c r="F7" i="2"/>
  <c r="F6" i="2"/>
  <c r="F5" i="2"/>
  <c r="F4" i="2"/>
  <c r="F2" i="2"/>
  <c r="F3" i="2"/>
  <c r="L125" i="2" l="1"/>
</calcChain>
</file>

<file path=xl/sharedStrings.xml><?xml version="1.0" encoding="utf-8"?>
<sst xmlns="http://schemas.openxmlformats.org/spreadsheetml/2006/main" count="5954" uniqueCount="1099">
  <si>
    <t>Customer Name</t>
  </si>
  <si>
    <t>State</t>
  </si>
  <si>
    <t>Product</t>
  </si>
  <si>
    <t>Units Sold</t>
  </si>
  <si>
    <t>Unit Price</t>
  </si>
  <si>
    <t>Total Sale</t>
  </si>
  <si>
    <t>Sale Date</t>
  </si>
  <si>
    <t>Sales Channel</t>
  </si>
  <si>
    <t>Order ID</t>
  </si>
  <si>
    <t>rivers</t>
  </si>
  <si>
    <t>KEYBOARD</t>
  </si>
  <si>
    <t>Online</t>
  </si>
  <si>
    <t>Allison Hill</t>
  </si>
  <si>
    <t>Lagos</t>
  </si>
  <si>
    <t>Headphones</t>
  </si>
  <si>
    <t>Wholesale</t>
  </si>
  <si>
    <t>4c636e95-025f-4543-8997-623ae0723d96</t>
  </si>
  <si>
    <t>Noah Rhodes</t>
  </si>
  <si>
    <t>Anambra</t>
  </si>
  <si>
    <t>Keyboard</t>
  </si>
  <si>
    <t>edaf3766-1b78-4ede-9a4f-fc0c9165f2ed</t>
  </si>
  <si>
    <t>Angie Henderson</t>
  </si>
  <si>
    <t>Delta</t>
  </si>
  <si>
    <t>74503887-48d9-4846-95c5-51fcfba57cc8</t>
  </si>
  <si>
    <t>Daniel Wagner</t>
  </si>
  <si>
    <t>Tablet</t>
  </si>
  <si>
    <t>8639bd41-8b15-4d94-a42d-0cd7fd359f6a</t>
  </si>
  <si>
    <t>Cristian Santos</t>
  </si>
  <si>
    <t>Oyo</t>
  </si>
  <si>
    <t>Camera</t>
  </si>
  <si>
    <t>Direct</t>
  </si>
  <si>
    <t>225aed6c-f045-4043-a3a6-8a707e710b55</t>
  </si>
  <si>
    <t>Connie Lawrence</t>
  </si>
  <si>
    <t>Rivers</t>
  </si>
  <si>
    <t>45d8a6ad-77d0-459e-8114-14f8d9df0d0e</t>
  </si>
  <si>
    <t>Abigail Shaffer</t>
  </si>
  <si>
    <t>Imo</t>
  </si>
  <si>
    <t>54a7b69b-1cd6-4b09-8f0e-6d2b315c167a</t>
  </si>
  <si>
    <t>Gina Moore</t>
  </si>
  <si>
    <t>Kano</t>
  </si>
  <si>
    <t>CAMERA</t>
  </si>
  <si>
    <t>a5f60735-757b-4b29-bb2a-a1462999394c</t>
  </si>
  <si>
    <t>Gabrielle Davis</t>
  </si>
  <si>
    <t>plateau</t>
  </si>
  <si>
    <t>039b058c-2faa-4e0b-b7f6-0cdf41dc1c60</t>
  </si>
  <si>
    <t>Ryan Munoz</t>
  </si>
  <si>
    <t>Niger</t>
  </si>
  <si>
    <t>4b86b5a1-ca6f-4ff8-964c-fbd2bc92fd81</t>
  </si>
  <si>
    <t>Monica Herrera</t>
  </si>
  <si>
    <t>Abuja</t>
  </si>
  <si>
    <t>Laptop</t>
  </si>
  <si>
    <t>Retail</t>
  </si>
  <si>
    <t>317304b5-c1dd-484a-aca5-8d95915a1c30</t>
  </si>
  <si>
    <t>Jamie Arnold</t>
  </si>
  <si>
    <t>a383889a-db2c-4ac8-9c67-83932ced3c0d</t>
  </si>
  <si>
    <t>6d7df5d0-d3b5-4af7-a7ce-378fe5a4983b</t>
  </si>
  <si>
    <t>Lisa Hensley</t>
  </si>
  <si>
    <t>Enugu</t>
  </si>
  <si>
    <t>Michele Williams</t>
  </si>
  <si>
    <t>Charger</t>
  </si>
  <si>
    <t>669d01ff-1634-425b-93f3-007383e96ef4</t>
  </si>
  <si>
    <t>Dylan Miller</t>
  </si>
  <si>
    <t>Bauchi</t>
  </si>
  <si>
    <t>CHARGER</t>
  </si>
  <si>
    <t>fb4fb88a-2f4d-4219-986b-2880ab545a15</t>
  </si>
  <si>
    <t>Brian Ramirez</t>
  </si>
  <si>
    <t>Katsina</t>
  </si>
  <si>
    <t>ef9240b6-52d7-4f10-ba3a-6e9623ff23d3</t>
  </si>
  <si>
    <t>Holly Wood</t>
  </si>
  <si>
    <t>lagos</t>
  </si>
  <si>
    <t>6231ee73-42c2-42eb-81bf-9e733f800385</t>
  </si>
  <si>
    <t>Derek Zuniga</t>
  </si>
  <si>
    <t>4459bd6e-c0f6-4229-b25d-42593c4b1eec</t>
  </si>
  <si>
    <t>Lisa Jackson</t>
  </si>
  <si>
    <t>951c25d5-4d4c-4280-9462-52e7f43ba052</t>
  </si>
  <si>
    <t>Carla Gray</t>
  </si>
  <si>
    <t>Monitor</t>
  </si>
  <si>
    <t>42f525b9-02ed-43ce-92a8-1713b90ed44b</t>
  </si>
  <si>
    <t>Margaret Hawkins DDS</t>
  </si>
  <si>
    <t>3c7e5368-b159-4847-9c0b-9b10a757cb10</t>
  </si>
  <si>
    <t>Patty Perez</t>
  </si>
  <si>
    <t>77242041-1e43-4bd2-aaf4-07f70fe76149</t>
  </si>
  <si>
    <t>Ethan Adams</t>
  </si>
  <si>
    <t>Ekiti</t>
  </si>
  <si>
    <t>LAPTOP</t>
  </si>
  <si>
    <t>afa28559-67c9-4204-a8e3-33b64e8adc4b</t>
  </si>
  <si>
    <t>Tommy Walter</t>
  </si>
  <si>
    <t>Plateau</t>
  </si>
  <si>
    <t>e346f415-e526-4a2b-ac50-ace480a52e65</t>
  </si>
  <si>
    <t>b0b6dedf-4f9c-4027-8514-4d98b41c504f</t>
  </si>
  <si>
    <t>Matthew Foster</t>
  </si>
  <si>
    <t>f0cd7f05-ea87-455e-a382-95d31e0ef546</t>
  </si>
  <si>
    <t>Judy Baker</t>
  </si>
  <si>
    <t>Kaduna</t>
  </si>
  <si>
    <t>Justin Baker</t>
  </si>
  <si>
    <t>3889936a-9d58-47e8-9e17-5b664b87959f</t>
  </si>
  <si>
    <t>Stephanie Ross</t>
  </si>
  <si>
    <t>Sokoto</t>
  </si>
  <si>
    <t>Phone</t>
  </si>
  <si>
    <t>7a6a2107-2231-4050-b515-94943818cfd3</t>
  </si>
  <si>
    <t>Zachary Hicks</t>
  </si>
  <si>
    <t>fd247c11-bf6b-4cdf-b479-7b6127372b52</t>
  </si>
  <si>
    <t>Anthony Rodriguez</t>
  </si>
  <si>
    <t>MONITOR</t>
  </si>
  <si>
    <t>b3b26337-6a74-4bb7-9fa5-e0aa9b11b530</t>
  </si>
  <si>
    <t>Rebecca Henderson</t>
  </si>
  <si>
    <t>c1e1b94a-7888-4058-a9ad-0e9b8c9aa1e9</t>
  </si>
  <si>
    <t>James Ferrell</t>
  </si>
  <si>
    <t>d35ac07a-aa02-47d0-8d4f-8b2b899ac252</t>
  </si>
  <si>
    <t>Tricia Valencia</t>
  </si>
  <si>
    <t>ae2ae341-3f59-44f2-8309-3b6e37e9d2e2</t>
  </si>
  <si>
    <t>Nathan Maldonado</t>
  </si>
  <si>
    <t>kano</t>
  </si>
  <si>
    <t>c9912032-df85-4777-9887-4bfec1369c65</t>
  </si>
  <si>
    <t>Debra Davidson</t>
  </si>
  <si>
    <t>Benue</t>
  </si>
  <si>
    <t>87365a84-725e-434d-8687-9aa914f573d0</t>
  </si>
  <si>
    <t>Jeffrey Chavez</t>
  </si>
  <si>
    <t>ead08c89-13fe-4a29-9c9d-eee0b42a0456</t>
  </si>
  <si>
    <t>Osun</t>
  </si>
  <si>
    <t>d42a895e-0fcf-401f-9cb9-b73a906d5c8c</t>
  </si>
  <si>
    <t>Sherri Baker</t>
  </si>
  <si>
    <t>33c08bf1-8167-499f-a723-ada38c32bdb2</t>
  </si>
  <si>
    <t>Cassandra Gaines</t>
  </si>
  <si>
    <t>2a1f1b61-265c-49d9-8962-8f6e929c93b3</t>
  </si>
  <si>
    <t>Elizabeth Fowler</t>
  </si>
  <si>
    <t>Brittany Farmer</t>
  </si>
  <si>
    <t>711c7673-8535-4a69-9abf-984e53ff8461</t>
  </si>
  <si>
    <t>Paula Moreno</t>
  </si>
  <si>
    <t>b787ef8d-3495-411e-ae27-d4321dc1e7eb</t>
  </si>
  <si>
    <t>Fred Smith</t>
  </si>
  <si>
    <t>imo</t>
  </si>
  <si>
    <t>e61d9cde-1747-4387-bd23-d47995492a82</t>
  </si>
  <si>
    <t>Sherry Decker</t>
  </si>
  <si>
    <t>0e3e25f2-cf06-41c7-b20b-274b82a7f586</t>
  </si>
  <si>
    <t>Anthony Humphrey</t>
  </si>
  <si>
    <t>6a5943ce-8364-45e3-a1c7-1aa3741423b5</t>
  </si>
  <si>
    <t>Angelica Tucker</t>
  </si>
  <si>
    <t>PHONE</t>
  </si>
  <si>
    <t>8f0d5540-0ec7-4662-905c-7bdd74f0beae</t>
  </si>
  <si>
    <t>Philip Cannon</t>
  </si>
  <si>
    <t>4ee4334e-ce92-4136-ac3a-812f765e6cb5</t>
  </si>
  <si>
    <t>John Pierce</t>
  </si>
  <si>
    <t>Borno</t>
  </si>
  <si>
    <t>41241bb4-655c-4508-8592-bfa5b928e23f</t>
  </si>
  <si>
    <t>Shane Henderson</t>
  </si>
  <si>
    <t>37c86152-beed-4af9-80c5-9f30d1031424</t>
  </si>
  <si>
    <t>6c776e95-0b98-4ccd-92b2-102d940c3503</t>
  </si>
  <si>
    <t>Joshua Blair</t>
  </si>
  <si>
    <t>8a89b0f0-1052-41d3-b34c-6c7358330b30</t>
  </si>
  <si>
    <t>Eric Carney</t>
  </si>
  <si>
    <t>enugu</t>
  </si>
  <si>
    <t>e4eb8000-ef40-4162-8f6c-e9bffe7ee362</t>
  </si>
  <si>
    <t>Jessica Holmes</t>
  </si>
  <si>
    <t>78d9a88a-ef0b-4a4f-bc73-7d9211ab3d11</t>
  </si>
  <si>
    <t>Danny Morgan</t>
  </si>
  <si>
    <t>Crystal Robinson</t>
  </si>
  <si>
    <t>2e13418d-68ab-40ea-897e-c6d1081fc6dc</t>
  </si>
  <si>
    <t>Mark Perez</t>
  </si>
  <si>
    <t>a43afb7a-c40d-4874-a2ab-7752c4db5a62</t>
  </si>
  <si>
    <t>Shannon Jones</t>
  </si>
  <si>
    <t>f6ba745b-a558-41e3-bab2-b77dfa740cc8</t>
  </si>
  <si>
    <t>Michael Lewis</t>
  </si>
  <si>
    <t>e42e707a-fe2b-4987-9fdc-abbf6b9cd71c</t>
  </si>
  <si>
    <t>Timothy Duncan</t>
  </si>
  <si>
    <t>eac80da1-de9f-4f5b-b2d3-545861ea2f30</t>
  </si>
  <si>
    <t>Richard Aguirre</t>
  </si>
  <si>
    <t>148b4376-602a-4e57-a0a3-99d4e821e716</t>
  </si>
  <si>
    <t>Brent Jordan</t>
  </si>
  <si>
    <t>anambra</t>
  </si>
  <si>
    <t>dfe2c0a0-a96b-4c42-b6d2-2a7baec76a82</t>
  </si>
  <si>
    <t>John Daniel</t>
  </si>
  <si>
    <t>TABLET</t>
  </si>
  <si>
    <t>dc3bbdd8-a74e-42a9-a20b-9ea98a0f9508</t>
  </si>
  <si>
    <t>fe2b34d8-2db0-428d-9e5e-be5459077299</t>
  </si>
  <si>
    <t>Victoria Garcia</t>
  </si>
  <si>
    <t>2099d180-8762-4997-a49f-7d888989c5ab</t>
  </si>
  <si>
    <t>Gerald Hensley</t>
  </si>
  <si>
    <t>d5b6de85-3902-49d9-ba8d-ae42ba54e920</t>
  </si>
  <si>
    <t>Connor West</t>
  </si>
  <si>
    <t>fa7e5d94-05d1-4b63-8194-f97f00e3a026</t>
  </si>
  <si>
    <t>Donald Wright</t>
  </si>
  <si>
    <t>b8168aeb-ac6a-4c85-b687-6c624c61845e</t>
  </si>
  <si>
    <t>Jessica Callahan</t>
  </si>
  <si>
    <t>Amber Kidd</t>
  </si>
  <si>
    <t>6118433b-882c-4d1e-ac93-a7918b60c511</t>
  </si>
  <si>
    <t>Tracy House</t>
  </si>
  <si>
    <t>katsina</t>
  </si>
  <si>
    <t>75eb89c2-3f5c-42f3-bacb-43a3d2c7bffb</t>
  </si>
  <si>
    <t>Carol Tucker</t>
  </si>
  <si>
    <t>3040413c-4690-4b15-a7b6-08dc589decb0</t>
  </si>
  <si>
    <t>James Brown</t>
  </si>
  <si>
    <t>c3f725fe-b99b-4b5a-a00d-a49deffa2002</t>
  </si>
  <si>
    <t>William Baker</t>
  </si>
  <si>
    <t>a902b73f-cf39-4648-883f-64c31ce362f8</t>
  </si>
  <si>
    <t>Jordan Henderson</t>
  </si>
  <si>
    <t>efad49e9-c41c-447e-9d6b-9b626b535a19</t>
  </si>
  <si>
    <t>Whitney Peters</t>
  </si>
  <si>
    <t>3d9c4e64-0401-4ced-a398-36bbe23ddfaa</t>
  </si>
  <si>
    <t>980cb95c-19d4-4deb-9139-fa1234c1c3ea</t>
  </si>
  <si>
    <t>Brittney Phillips</t>
  </si>
  <si>
    <t>ac09bdb7-9908-4e47-b249-f62c08987462</t>
  </si>
  <si>
    <t>Lauren Daniels</t>
  </si>
  <si>
    <t>3ea6e5b2-0c76-4d28-9f49-5037b40a9181</t>
  </si>
  <si>
    <t>Amy Silva</t>
  </si>
  <si>
    <t>delta</t>
  </si>
  <si>
    <t>705fddf5-66fa-4ca0-8b53-1932bd9419aa</t>
  </si>
  <si>
    <t>Sarah Moore</t>
  </si>
  <si>
    <t>c11f6bf5-379e-4467-8a2d-b2e63bfda8a6</t>
  </si>
  <si>
    <t>Angela Lopez</t>
  </si>
  <si>
    <t>23dfecd7-0e73-4dd7-86ac-1b04dd1d6cd1</t>
  </si>
  <si>
    <t>Megan Young</t>
  </si>
  <si>
    <t>Steve Sanchez</t>
  </si>
  <si>
    <t>3bf2025f-4a0d-4b73-be54-ee4b80ff5173</t>
  </si>
  <si>
    <t>Lisa Barnes</t>
  </si>
  <si>
    <t>937bf79b-bb44-4adc-aa98-fef8d0d75e37</t>
  </si>
  <si>
    <t>Kelly Donovan</t>
  </si>
  <si>
    <t>c5c51060-9911-41e7-93d5-63ae51a3ac26</t>
  </si>
  <si>
    <t>Mike Allen</t>
  </si>
  <si>
    <t>3ca5be29-5217-4bf3-9181-83d1ac2b0cfc</t>
  </si>
  <si>
    <t>Michael Evans</t>
  </si>
  <si>
    <t>fc568b53-24ac-4722-a052-77394d406f1b</t>
  </si>
  <si>
    <t>Paul Jones</t>
  </si>
  <si>
    <t>69df14e9-3896-41dd-8570-b59fa903ae67</t>
  </si>
  <si>
    <t>8e85140d-0f9a-4b70-8670-7cd64ceda164</t>
  </si>
  <si>
    <t>Zachary Ferrell</t>
  </si>
  <si>
    <t>bc36dc59-e134-4dfc-9777-7f10f2d2393f</t>
  </si>
  <si>
    <t>Daniel Baker</t>
  </si>
  <si>
    <t>adc29178-a041-4612-acd5-8759e95d2761</t>
  </si>
  <si>
    <t>Shirley Suarez</t>
  </si>
  <si>
    <t>Cross River</t>
  </si>
  <si>
    <t>0c00988a-7ee1-411a-8e4c-3ab56d5d0477</t>
  </si>
  <si>
    <t>Christopher Bass</t>
  </si>
  <si>
    <t>a4b05c89-f10b-4e9c-982b-91eef8e8035b</t>
  </si>
  <si>
    <t>Lisa Archer</t>
  </si>
  <si>
    <t>HEADPHONES</t>
  </si>
  <si>
    <t>86433603-c92a-4d7c-a193-5990abdd1a8f</t>
  </si>
  <si>
    <t>Aimee Montoya</t>
  </si>
  <si>
    <t>6883ac6e-6a94-4054-b241-4482519894d8</t>
  </si>
  <si>
    <t>Matthew Mcmillan</t>
  </si>
  <si>
    <t>Brian Rodriguez</t>
  </si>
  <si>
    <t>oyo</t>
  </si>
  <si>
    <t>2f12b150-605f-41eb-8cc5-7e0d26332018</t>
  </si>
  <si>
    <t>Denise Jacobs</t>
  </si>
  <si>
    <t>3db0174e-7938-478a-89b5-aab0c12169db</t>
  </si>
  <si>
    <t>Christina Walters</t>
  </si>
  <si>
    <t>db87d29c-4cfd-4fc1-b9b0-2e2ad96e684f</t>
  </si>
  <si>
    <t>John Whitehead</t>
  </si>
  <si>
    <t>7688d11f-ce47-48be-a4f4-3c62b523c0de</t>
  </si>
  <si>
    <t>Anna Henderson</t>
  </si>
  <si>
    <t>69a53b4f-8ff8-469d-8ec0-713dea2c7a51</t>
  </si>
  <si>
    <t>87ad8b26-8eaa-4841-aaa0-426df7c0d5f7</t>
  </si>
  <si>
    <t>Aaron Wise</t>
  </si>
  <si>
    <t>41476506-3e2b-49c9-a36f-6e5c2253e706</t>
  </si>
  <si>
    <t>Deborah Figueroa</t>
  </si>
  <si>
    <t>143df5b3-a58e-43dd-948c-1d84340de049</t>
  </si>
  <si>
    <t>Jessica Smith</t>
  </si>
  <si>
    <t>5efeef4f-d8dd-4bc0-b325-3aa3ec170298</t>
  </si>
  <si>
    <t>Stephen Mckee</t>
  </si>
  <si>
    <t>osun</t>
  </si>
  <si>
    <t>d453f867-b97e-4224-891f-691217abb863</t>
  </si>
  <si>
    <t>Sandra Aguilar</t>
  </si>
  <si>
    <t>608e149e-44b9-4602-8d31-812e30c36756</t>
  </si>
  <si>
    <t>Cameron Parker</t>
  </si>
  <si>
    <t>0a1fc9df-9a59-4974-9adf-4709ac75c344</t>
  </si>
  <si>
    <t>Rebecca Valencia</t>
  </si>
  <si>
    <t>cdfd9531-302b-4831-92a1-fe7ddfa59722</t>
  </si>
  <si>
    <t>Christine Wright</t>
  </si>
  <si>
    <t>Richard Henson</t>
  </si>
  <si>
    <t>abe42e7d-b96c-4163-966b-e275c2fe8954</t>
  </si>
  <si>
    <t>Marc Moore</t>
  </si>
  <si>
    <t>3579c143-7ab9-4428-b78e-65108f10d33e</t>
  </si>
  <si>
    <t>Sharon Cherry</t>
  </si>
  <si>
    <t>4d9dbaeb-553d-4625-a833-4da5de95d695</t>
  </si>
  <si>
    <t>Sierra Johnson</t>
  </si>
  <si>
    <t>363908bf-03ec-48ff-a8b3-d763f4ff3f3a</t>
  </si>
  <si>
    <t>kaduna</t>
  </si>
  <si>
    <t>bdd151b0-f64a-46ec-b0a5-648eefe9b3d0</t>
  </si>
  <si>
    <t>Evelyn Galvan</t>
  </si>
  <si>
    <t>c11bd1c4-ffe3-4366-bf33-7a151e086f20</t>
  </si>
  <si>
    <t>Sharon Cochran</t>
  </si>
  <si>
    <t>b2149062-3e1a-463e-aa18-d32c7a9a8ef5</t>
  </si>
  <si>
    <t>Richard Rodriguez</t>
  </si>
  <si>
    <t>6589ada1-345a-4934-b42a-2d939aba0f15</t>
  </si>
  <si>
    <t>Shannon Walker</t>
  </si>
  <si>
    <t>52555c75-8d55-419e-bd44-cb2cea45ba41</t>
  </si>
  <si>
    <t>Julia Torres</t>
  </si>
  <si>
    <t>775c30b5-6173-4c48-8876-9153c68813fe</t>
  </si>
  <si>
    <t>Crystal Johnson</t>
  </si>
  <si>
    <t>4ef4c34d-5bf8-4f3c-a612-9a1c889d4b76</t>
  </si>
  <si>
    <t>Garrett Lin</t>
  </si>
  <si>
    <t>e1fff6c0-8347-41da-9c11-ab6d42f5b3f5</t>
  </si>
  <si>
    <t>Diana May</t>
  </si>
  <si>
    <t>cd8563ca-193e-438d-b74c-0afa7f4d908c</t>
  </si>
  <si>
    <t>William Herrera</t>
  </si>
  <si>
    <t>Ashley Waller</t>
  </si>
  <si>
    <t>c2fa1da8-7830-4631-b8f0-188efb37afae</t>
  </si>
  <si>
    <t>Victor Baker</t>
  </si>
  <si>
    <t>340029c3-ea11-405b-91fa-cefad6f89f7a</t>
  </si>
  <si>
    <t>Jeffrey Chandler</t>
  </si>
  <si>
    <t>0bb401e7-69f7-43f1-901b-a8515ee68495</t>
  </si>
  <si>
    <t>bdc2b74b-38a5-4b49-9d34-aa1890019ed4</t>
  </si>
  <si>
    <t>Larry Dixon</t>
  </si>
  <si>
    <t>8da5d39b-42c2-4797-8426-fcc9255b30e2</t>
  </si>
  <si>
    <t>Kenneth Scott</t>
  </si>
  <si>
    <t>b852b3cd-9442-45e6-9583-1d58ef4c5119</t>
  </si>
  <si>
    <t>April Frost</t>
  </si>
  <si>
    <t>32399ffb-2704-4f25-8b91-b8cb6ae66582</t>
  </si>
  <si>
    <t>Michelle Harmon</t>
  </si>
  <si>
    <t>91ddb9bf-613d-4de9-bae2-802354720d2d</t>
  </si>
  <si>
    <t>Helen Jones</t>
  </si>
  <si>
    <t>niger</t>
  </si>
  <si>
    <t>8cf6e8b8-7fd2-48c3-bee8-2983d5574241</t>
  </si>
  <si>
    <t>Erin Edwards</t>
  </si>
  <si>
    <t>566a9ce7-af52-4b94-b186-e47aa7946320</t>
  </si>
  <si>
    <t>Michelle Evans</t>
  </si>
  <si>
    <t>7d1645a0-d253-4966-836b-9a0a41e02a89</t>
  </si>
  <si>
    <t>Jason Powell</t>
  </si>
  <si>
    <t>bd5609c4-a446-4663-b93b-17fbf76d15fd</t>
  </si>
  <si>
    <t>Cameron Fisher</t>
  </si>
  <si>
    <t>bb96f602-2b11-4c36-b5f8-e3a87d97ac0f</t>
  </si>
  <si>
    <t>Megan Orr</t>
  </si>
  <si>
    <t>Elizabeth Kelley</t>
  </si>
  <si>
    <t>23d4526b-2b54-4f7a-9a28-37b2cb8383f2</t>
  </si>
  <si>
    <t>Dustin Jordan</t>
  </si>
  <si>
    <t>2f1dc121-7d02-4c6d-8bea-75c1b86677aa</t>
  </si>
  <si>
    <t>fd85d7fa-8ac9-4b01-a3ad-64d4eab9eb02</t>
  </si>
  <si>
    <t>Mary Marshall</t>
  </si>
  <si>
    <t>borno</t>
  </si>
  <si>
    <t>862138ad-0f09-405c-b50d-7a37a44d9fec</t>
  </si>
  <si>
    <t>Daniel Kennedy</t>
  </si>
  <si>
    <t>13075157-d8c1-48e7-96cd-315508a8ac7f</t>
  </si>
  <si>
    <t>Rebecca Jackson</t>
  </si>
  <si>
    <t>0c6b7074-ab10-4c9b-9168-2e09f1f7d904</t>
  </si>
  <si>
    <t>Jose Schultz</t>
  </si>
  <si>
    <t>2332a50e-6992-496e-81a2-5ed1c3abb5f1</t>
  </si>
  <si>
    <t>Robert Potter</t>
  </si>
  <si>
    <t>116658ce-3b3f-4800-a175-a9c3d7b102a9</t>
  </si>
  <si>
    <t>Courtney Gonzalez</t>
  </si>
  <si>
    <t>37fe032c-0257-4851-a6a9-e100b509109b</t>
  </si>
  <si>
    <t>David Alvarez</t>
  </si>
  <si>
    <t>0f79a8a7-5f8a-44bd-b4bd-0c938177b661</t>
  </si>
  <si>
    <t>Angel Perry</t>
  </si>
  <si>
    <t>ef145064-aab0-4015-a342-2e509e2a7324</t>
  </si>
  <si>
    <t>Cheyenne Horton</t>
  </si>
  <si>
    <t>a8c6dbc0-7bb3-447b-a9aa-144b9dd43675</t>
  </si>
  <si>
    <t>David Douglas Jr.</t>
  </si>
  <si>
    <t>883f13c6-01b1-48e9-8406-ff447ce40679</t>
  </si>
  <si>
    <t>Patricia Rodriguez</t>
  </si>
  <si>
    <t>Christopher Rubio</t>
  </si>
  <si>
    <t>04482a22-0308-4a5e-a94d-7b008d388327</t>
  </si>
  <si>
    <t>892621df-4655-48b7-b8e1-9f568787ea21</t>
  </si>
  <si>
    <t>Amber Wright</t>
  </si>
  <si>
    <t>80913ac1-0463-450e-8964-6b96fa3c1628</t>
  </si>
  <si>
    <t>Joyce Solis</t>
  </si>
  <si>
    <t>6e3a0ba8-ac8d-4c7d-b2a6-e468d02b1243</t>
  </si>
  <si>
    <t>Victoria Larson</t>
  </si>
  <si>
    <t>2de46e91-e8e6-4840-b090-f5a0ce610199</t>
  </si>
  <si>
    <t>Stephanie Salazar</t>
  </si>
  <si>
    <t>863e1f2a-18a8-46ef-ab05-3fc41b656dab</t>
  </si>
  <si>
    <t>Kathy Rivas</t>
  </si>
  <si>
    <t>9ea9f508-3122-4592-bdb0-2235261e2555</t>
  </si>
  <si>
    <t>Stephanie Manning</t>
  </si>
  <si>
    <t>abuja</t>
  </si>
  <si>
    <t>5abca6e5-d0b1-43eb-809e-7a8086c5d1d6</t>
  </si>
  <si>
    <t>David Wright</t>
  </si>
  <si>
    <t>143a9aff-659b-4105-8b80-f288446f64dd</t>
  </si>
  <si>
    <t>Pamela Boyd</t>
  </si>
  <si>
    <t>7580e050-67f1-498c-b594-8a545f804eeb</t>
  </si>
  <si>
    <t>Denise Jones</t>
  </si>
  <si>
    <t>b27e1442-fd7f-4973-be42-df5b90a3fbbf</t>
  </si>
  <si>
    <t>Devon Flores</t>
  </si>
  <si>
    <t>d3fbe043-af1d-4a1a-8ccb-235539d1c7ff</t>
  </si>
  <si>
    <t>Brenda Hall</t>
  </si>
  <si>
    <t>fdde64af-a75b-495a-94a3-4f7fd90dd19b</t>
  </si>
  <si>
    <t>Michelle Brown</t>
  </si>
  <si>
    <t>081c79d4-c274-47eb-a65f-7b8adbb44021</t>
  </si>
  <si>
    <t>Joshua Perry</t>
  </si>
  <si>
    <t>608e2f5c-6117-4270-a7c0-518b17efa621</t>
  </si>
  <si>
    <t>Jason Stein</t>
  </si>
  <si>
    <t>a301ec03-0e5d-4c6a-b9db-78628d7dd772</t>
  </si>
  <si>
    <t>Melissa Gates</t>
  </si>
  <si>
    <t>152aeaec-2bdf-4b41-b3ed-a8f1026b5383</t>
  </si>
  <si>
    <t>Jamie Smith</t>
  </si>
  <si>
    <t>a518a418-6f14-43f6-9867-888b7ff6b824</t>
  </si>
  <si>
    <t>Paul Castaneda</t>
  </si>
  <si>
    <t>fa323f69-90db-4ad6-94ce-26bec8cce2c2</t>
  </si>
  <si>
    <t>Jennifer Adkins</t>
  </si>
  <si>
    <t>e5110961-1869-4217-b94d-8fcbdba3496f</t>
  </si>
  <si>
    <t>Lindsey Walker</t>
  </si>
  <si>
    <t>3ad1fa33-0ae4-4c11-ab4d-8f42873570a2</t>
  </si>
  <si>
    <t>Jeffrey Johnson</t>
  </si>
  <si>
    <t>b139c476-de3c-488b-a6b9-d31a361f6d90</t>
  </si>
  <si>
    <t>Michael Powell</t>
  </si>
  <si>
    <t>45667c48-79ba-430a-9118-c400e336c243</t>
  </si>
  <si>
    <t>John Anderson</t>
  </si>
  <si>
    <t>af36b8cc-1308-4974-ac95-b3ac0beb7c34</t>
  </si>
  <si>
    <t>Alyssa Long</t>
  </si>
  <si>
    <t>8b040f53-e639-49d4-87c6-8688ecf32053</t>
  </si>
  <si>
    <t>Alyssa Day</t>
  </si>
  <si>
    <t>2dea2d2d-086c-405f-a879-d8f890422eb7</t>
  </si>
  <si>
    <t>Joel Williams</t>
  </si>
  <si>
    <t>04022b3c-5082-41a5-99b5-9f84edc3a1c3</t>
  </si>
  <si>
    <t>Daniel Murphy</t>
  </si>
  <si>
    <t>24e9bcfd-9647-4f9f-b508-507af622d842</t>
  </si>
  <si>
    <t>Jamie Walton</t>
  </si>
  <si>
    <t>d226a8b3-b674-410d-9218-c9d6c093bfb0</t>
  </si>
  <si>
    <t>Darlene Miller</t>
  </si>
  <si>
    <t>4c9d6907-13b2-4cec-adca-bf9465f6ba53</t>
  </si>
  <si>
    <t>Joshua Cooke</t>
  </si>
  <si>
    <t>9112fbc0-3d8f-45f4-905f-9096299656e2</t>
  </si>
  <si>
    <t>Matthew Harrington</t>
  </si>
  <si>
    <t>ad5229dd-639f-4471-9975-0f00d5aba8ae</t>
  </si>
  <si>
    <t>Nicole Herring</t>
  </si>
  <si>
    <t>6243bed7-54ec-4f33-8a62-4cbde582b678</t>
  </si>
  <si>
    <t>Alex Hernandez</t>
  </si>
  <si>
    <t>ca5e151b-23d3-4d4c-bd5f-f093c16f9bcc</t>
  </si>
  <si>
    <t>Michael Elliott</t>
  </si>
  <si>
    <t>1413d64d-b962-48a7-b076-a7dcfd0ce433</t>
  </si>
  <si>
    <t>Michael Wang</t>
  </si>
  <si>
    <t>588a3f87-f96d-40f8-bed6-3da08033f5c2</t>
  </si>
  <si>
    <t>Lawrence Adkins</t>
  </si>
  <si>
    <t>3b6dca0d-6fe5-440b-9901-ef870dbf0caf</t>
  </si>
  <si>
    <t>Robert Oconnell</t>
  </si>
  <si>
    <t>9aec56a8-5731-4609-9375-ee90d6b361e4</t>
  </si>
  <si>
    <t>9879cf35-f471-4986-9d26-4599c4dd8df5</t>
  </si>
  <si>
    <t>Alexander Collins</t>
  </si>
  <si>
    <t>Tina Sanders</t>
  </si>
  <si>
    <t>538d6b8c-c607-41e9-b80b-2cea658e54a2</t>
  </si>
  <si>
    <t>Angela Vaughn</t>
  </si>
  <si>
    <t>c8969c5b-45f8-428d-a255-e1bb07958c1f</t>
  </si>
  <si>
    <t>Ashley Barton</t>
  </si>
  <si>
    <t>3a67470c-7d98-402f-b357-41e5fe1a1ba9</t>
  </si>
  <si>
    <t>Lindsay Martinez</t>
  </si>
  <si>
    <t>601bfbcb-f0ee-4cce-8d93-e14a5b167158</t>
  </si>
  <si>
    <t>Dr. Hannah Patterson</t>
  </si>
  <si>
    <t>95fbe976-ae00-4b7e-af8c-83e56e8d9644</t>
  </si>
  <si>
    <t>Jonathan Peterson</t>
  </si>
  <si>
    <t>c5acc354-15f0-4cb4-a14c-721da921cb4c</t>
  </si>
  <si>
    <t>Samantha Garcia</t>
  </si>
  <si>
    <t>3f175534-cc4d-4819-8b9d-fd589e5d9c7a</t>
  </si>
  <si>
    <t>Madison Poole</t>
  </si>
  <si>
    <t>4499d0a6-1500-4170-92d1-5585b68e47fa</t>
  </si>
  <si>
    <t>Jessica Gross</t>
  </si>
  <si>
    <t>c8ad0899-b630-494d-a147-adeb277b0667</t>
  </si>
  <si>
    <t>Debra Morton</t>
  </si>
  <si>
    <t>63be441d-bd5a-4c9e-a77e-b0aaa247541d</t>
  </si>
  <si>
    <t>Karen Graham</t>
  </si>
  <si>
    <t>bauchi</t>
  </si>
  <si>
    <t>176de21f-1b46-4bdc-9c56-d9bc5111d31d</t>
  </si>
  <si>
    <t>71da35b9-4eea-4db8-b165-d77901547950</t>
  </si>
  <si>
    <t>Debra Christian</t>
  </si>
  <si>
    <t>1a2bd69c-450f-49ee-82e7-9a985c238d8d</t>
  </si>
  <si>
    <t>Angelica Keith</t>
  </si>
  <si>
    <t>John Bishop</t>
  </si>
  <si>
    <t>6e54ac6d-2ff8-487e-9659-1c8921ebfaa9</t>
  </si>
  <si>
    <t>Allen Rosales</t>
  </si>
  <si>
    <t>832f52c4-8e03-40cf-8e96-922772e76b51</t>
  </si>
  <si>
    <t>Daniel Salinas</t>
  </si>
  <si>
    <t>16f142a2-06b9-49aa-9a71-67c768759545</t>
  </si>
  <si>
    <t>Spencer Haynes</t>
  </si>
  <si>
    <t>98d00c2c-17d3-4f32-8de1-596c5a9a206a</t>
  </si>
  <si>
    <t>Adam Vaughan</t>
  </si>
  <si>
    <t>dd1ca267-530d-4da6-88d0-f9e5991965ea</t>
  </si>
  <si>
    <t>Nathan Freeman</t>
  </si>
  <si>
    <t>cross river</t>
  </si>
  <si>
    <t>69ef74e3-4ab6-421c-8328-c136629ef3d8</t>
  </si>
  <si>
    <t>Melissa Brewer</t>
  </si>
  <si>
    <t>b98f5dbe-15ae-4e0f-8777-a07f6346d4ef</t>
  </si>
  <si>
    <t>Ricky Davis II</t>
  </si>
  <si>
    <t>fe2390f3-e7bb-4efc-8f3d-c97fe6b0da0a</t>
  </si>
  <si>
    <t>Elizabeth Perkins</t>
  </si>
  <si>
    <t>85671b58-926b-4fa5-be24-5fbffa698cd2</t>
  </si>
  <si>
    <t>Joseph Coleman</t>
  </si>
  <si>
    <t>2b64777c-6177-4771-af70-de702b69c95e</t>
  </si>
  <si>
    <t>44b64ec1-4d16-4049-84d7-df9a238b05b7</t>
  </si>
  <si>
    <t>Erin Warner</t>
  </si>
  <si>
    <t>2ace1aa9-1032-46b3-a55b-fc1c7e3d5ee4</t>
  </si>
  <si>
    <t>David Martinez</t>
  </si>
  <si>
    <t>4cbc9044-6bcd-4ce7-86a5-6fe86f46f1b1</t>
  </si>
  <si>
    <t>Bryan Herrera</t>
  </si>
  <si>
    <t>Cathy Robinson</t>
  </si>
  <si>
    <t>5c72aebd-13b1-4e59-885c-d7147bf69552</t>
  </si>
  <si>
    <t>Dr. William Warren</t>
  </si>
  <si>
    <t>b88cddde-3f20-46c2-b1b8-8d65406f64d6</t>
  </si>
  <si>
    <t>Brian Lee</t>
  </si>
  <si>
    <t>9dde0188-9803-422e-beec-e88da002352a</t>
  </si>
  <si>
    <t>Christopher Smith</t>
  </si>
  <si>
    <t>22af711f-1b62-4a9d-b536-6b9f320f72c0</t>
  </si>
  <si>
    <t>Denise Mccann</t>
  </si>
  <si>
    <t>654c11d9-f2e6-4828-81bb-819c4dfe1117</t>
  </si>
  <si>
    <t>Melissa Martinez</t>
  </si>
  <si>
    <t>614077d3-9ec4-4a48-9773-f98d550c2fe9</t>
  </si>
  <si>
    <t>Katherine Salas</t>
  </si>
  <si>
    <t>70b27304-545c-488d-9cb9-075ecdd7f460</t>
  </si>
  <si>
    <t>Julie Alexander</t>
  </si>
  <si>
    <t>d2d33488-d0c3-4018-ae3c-dd4f55b145e4</t>
  </si>
  <si>
    <t>Anthony Everett</t>
  </si>
  <si>
    <t>982a2277-f966-459f-a6aa-59e5dc08bf29</t>
  </si>
  <si>
    <t>9a6c0db9-5217-4c88-8ce9-53a722d90db3</t>
  </si>
  <si>
    <t>Rodney Morales</t>
  </si>
  <si>
    <t>7aa061e9-336b-40cb-b1fe-ad13f280df1d</t>
  </si>
  <si>
    <t>Mark Brown</t>
  </si>
  <si>
    <t>65f30779-f6ee-4cdb-ad79-a2d1506e50c7</t>
  </si>
  <si>
    <t>Justin Torres</t>
  </si>
  <si>
    <t>bc20b9f2-4a9c-489e-91b3-0182f7fe604f</t>
  </si>
  <si>
    <t>Bailey Duran DDS</t>
  </si>
  <si>
    <t>Courtney Mills</t>
  </si>
  <si>
    <t>f7bf5244-7db2-47aa-a205-e54fb1e8c09d</t>
  </si>
  <si>
    <t>Jeremy Dalton</t>
  </si>
  <si>
    <t>536d47d7-3e0f-44ce-882f-78fd936cd31c</t>
  </si>
  <si>
    <t>Elizabeth Oliver DDS</t>
  </si>
  <si>
    <t>c92e8c93-d105-48d6-87c1-c01760452909</t>
  </si>
  <si>
    <t>Theresa Clark</t>
  </si>
  <si>
    <t>ee9bf3e1-1d27-409a-9d71-a89864976593</t>
  </si>
  <si>
    <t>Matthew Moore</t>
  </si>
  <si>
    <t>ekiti</t>
  </si>
  <si>
    <t>ff4cc10f-979c-40cf-b326-1887905881df</t>
  </si>
  <si>
    <t>Benjamin Smith</t>
  </si>
  <si>
    <t>c4829b71-ae84-481c-ae0f-b5b38bae591e</t>
  </si>
  <si>
    <t>Kirk Carter</t>
  </si>
  <si>
    <t>ba2aa7ba-f3f8-4c31-86e3-f9498cd34c62</t>
  </si>
  <si>
    <t>Michael Warner</t>
  </si>
  <si>
    <t>35ab8466-b557-4b00-b166-cdcf762cdfbc</t>
  </si>
  <si>
    <t>d4cee27c-4a94-4e9f-8c35-1e4f703e957f</t>
  </si>
  <si>
    <t>Michael Bradshaw</t>
  </si>
  <si>
    <t>d908a121-d1a7-4a20-91b4-61e9b15da72d</t>
  </si>
  <si>
    <t>Lori Guerrero</t>
  </si>
  <si>
    <t>ac484366-68bd-40d7-8b88-1c32cbb02a8b</t>
  </si>
  <si>
    <t>Jessica Stephens</t>
  </si>
  <si>
    <t>4d8670bd-a222-4f96-a3a1-3e207fd255ee</t>
  </si>
  <si>
    <t>Susan Serrano</t>
  </si>
  <si>
    <t>2775ee42-a89e-42f2-80af-bf3f3df51967</t>
  </si>
  <si>
    <t>Christopher Parker</t>
  </si>
  <si>
    <t>Laura Roberts</t>
  </si>
  <si>
    <t>6082786f-ca00-4f58-ac52-1d13b719bb68</t>
  </si>
  <si>
    <t>Michael Lyons</t>
  </si>
  <si>
    <t>9912316a-fd9e-4e20-b2f6-095812ef6101</t>
  </si>
  <si>
    <t>Kathryn Snyder</t>
  </si>
  <si>
    <t>88cc4d49-669b-49b8-950d-f1a07aaf2001</t>
  </si>
  <si>
    <t>Andrew Reynolds</t>
  </si>
  <si>
    <t>dea050c6-eb9e-4274-ac6a-37ad81b15db9</t>
  </si>
  <si>
    <t>David Davis</t>
  </si>
  <si>
    <t>09697101-8b2c-450a-ab15-c11bb113d50b</t>
  </si>
  <si>
    <t>Sara Johnston</t>
  </si>
  <si>
    <t>b39e4df2-5c0a-4feb-b7ea-e66eca6caf9b</t>
  </si>
  <si>
    <t>Yvonne Chambers</t>
  </si>
  <si>
    <t>98049562-8972-4bbd-8ff2-b1c4e53f9644</t>
  </si>
  <si>
    <t>1bffa279-15c1-404f-aa16-3354a35fc9c1</t>
  </si>
  <si>
    <t>Andrew Avila</t>
  </si>
  <si>
    <t>aa2960fd-a858-44df-bf8c-1097c4da2c2e</t>
  </si>
  <si>
    <t>Matthew Moon</t>
  </si>
  <si>
    <t>9cd8758b-a5a1-4825-aa95-28c35ae1dbad</t>
  </si>
  <si>
    <t>Kevin Walters</t>
  </si>
  <si>
    <t>a520c3d0-fbcd-4f5e-902f-34650b570720</t>
  </si>
  <si>
    <t>Brandon Bailey MD</t>
  </si>
  <si>
    <t>f780ef2f-664d-4922-a590-fd3cad6ecc57</t>
  </si>
  <si>
    <t>Shannon Rivera</t>
  </si>
  <si>
    <t>cbd5cc86-f739-46e9-94e3-8579c0afd193</t>
  </si>
  <si>
    <t>Donna Landry</t>
  </si>
  <si>
    <t>Krista Gibson</t>
  </si>
  <si>
    <t>193e4783-02b3-4254-9b1f-2eb16e3255a8</t>
  </si>
  <si>
    <t>Frank Cordova</t>
  </si>
  <si>
    <t>bf31c29f-82bb-4d84-b8d5-101f423cad9d</t>
  </si>
  <si>
    <t>Jose Travis</t>
  </si>
  <si>
    <t>b00ac64c-949c-48d4-8ed8-a80d84cfee39</t>
  </si>
  <si>
    <t>Kimberly Gutierrez</t>
  </si>
  <si>
    <t>5fc64cd0-721e-4b1f-b895-89399342a09f</t>
  </si>
  <si>
    <t>Isaiah Avila</t>
  </si>
  <si>
    <t>adf75924-c5b8-486b-b68b-4f7e64215e66</t>
  </si>
  <si>
    <t>Olivia Harris</t>
  </si>
  <si>
    <t>2697384d-801e-4690-b0c0-7fcc96add4df</t>
  </si>
  <si>
    <t>7b96e2d1-0649-4cf6-bf69-723d584fc85b</t>
  </si>
  <si>
    <t>Tanya Kim</t>
  </si>
  <si>
    <t>eba900e1-6a7d-4d96-8ba1-72331ac3bf31</t>
  </si>
  <si>
    <t>Barbara Dudley</t>
  </si>
  <si>
    <t>d4d13d55-1db6-4844-95fa-9483f633cc2d</t>
  </si>
  <si>
    <t>Cynthia Moore</t>
  </si>
  <si>
    <t>592c1107-2444-4301-baeb-286bf0d0270f</t>
  </si>
  <si>
    <t>Kristen Davis</t>
  </si>
  <si>
    <t>c8c5eb2a-7490-4deb-97d3-37d34fd80bbb</t>
  </si>
  <si>
    <t>Susan Murray MD</t>
  </si>
  <si>
    <t>592a3549-7ba1-49d0-8567-c80534f541c0</t>
  </si>
  <si>
    <t>Kathleen Moran</t>
  </si>
  <si>
    <t>sokoto</t>
  </si>
  <si>
    <t>b8d49848-702b-449f-98fd-d2b979e5c9aa</t>
  </si>
  <si>
    <t>Denise Davenport</t>
  </si>
  <si>
    <t>Mrs. Kristen Reyes</t>
  </si>
  <si>
    <t>1132567c-51a4-4d2a-b3d3-9457b25f13df</t>
  </si>
  <si>
    <t>Katie Suarez</t>
  </si>
  <si>
    <t>b5f59cb0-cf68-4878-8b70-59334cde1b6b</t>
  </si>
  <si>
    <t>Desiree Tyler</t>
  </si>
  <si>
    <t>57d3f4dd-d963-4c72-85c8-234b1d763a66</t>
  </si>
  <si>
    <t>Timothy Romero</t>
  </si>
  <si>
    <t>ccd015c1-ad59-40dd-9bff-3142a5e15b55</t>
  </si>
  <si>
    <t>Diane Evans</t>
  </si>
  <si>
    <t>bd90b81a-fbe0-46b8-ae0f-65a82a131c1f</t>
  </si>
  <si>
    <t>8d49fe3f-2ca8-4783-8418-2d353e711433</t>
  </si>
  <si>
    <t>Yvonne Burns</t>
  </si>
  <si>
    <t>6d268b37-8f52-42d3-94bb-bcf828fea761</t>
  </si>
  <si>
    <t>Joshua Reed</t>
  </si>
  <si>
    <t>cc39b925-3b5a-4288-b649-2e64f55dce6d</t>
  </si>
  <si>
    <t>Kimberly Gibson</t>
  </si>
  <si>
    <t>2fb70dab-2f38-4b43-a137-f8e467b13040</t>
  </si>
  <si>
    <t>Colin Terry</t>
  </si>
  <si>
    <t>6544e313-6ea0-4d13-a845-54c3a3f66c61</t>
  </si>
  <si>
    <t>Cynthia Rowe</t>
  </si>
  <si>
    <t>e212ab7c-9d36-4cb6-bcc5-7be00779250a</t>
  </si>
  <si>
    <t>Patrick Thornton</t>
  </si>
  <si>
    <t>6df72cd3-979a-4051-b317-591a3283daa4</t>
  </si>
  <si>
    <t>Jasmin Alvarado</t>
  </si>
  <si>
    <t>36fce0ac-b469-4db3-8123-a348638abdf6</t>
  </si>
  <si>
    <t>Veronica Simpson</t>
  </si>
  <si>
    <t>Jonathan Lawrence</t>
  </si>
  <si>
    <t>b4299924-c098-4750-8741-9b4834ae4abd</t>
  </si>
  <si>
    <t>Shelly Alexander</t>
  </si>
  <si>
    <t>93cd1291-1004-4d82-8bc7-2f1acf08ea54</t>
  </si>
  <si>
    <t>Joyce Bowen</t>
  </si>
  <si>
    <t>89718eea-df3a-498a-8cac-2fb51a0c6c04</t>
  </si>
  <si>
    <t>327375bf-5373-4f4d-9da4-9cb92fdc9992</t>
  </si>
  <si>
    <t>abb316a7-4329-4780-9d2c-272175220646</t>
  </si>
  <si>
    <t>Wayne Morgan</t>
  </si>
  <si>
    <t>f7464c02-8718-44c1-bd4e-d26edcd5bfae</t>
  </si>
  <si>
    <t>Marie Christian</t>
  </si>
  <si>
    <t>637ddcd6-98d3-448b-903b-4078a39c9ec6</t>
  </si>
  <si>
    <t>Shannon James</t>
  </si>
  <si>
    <t>1d3e503a-9645-40e4-a47d-c3929c7eb575</t>
  </si>
  <si>
    <t>Nathan Malone</t>
  </si>
  <si>
    <t>753659ef-d873-4ad9-9a1b-af0e591196dc</t>
  </si>
  <si>
    <t>Amanda Jones</t>
  </si>
  <si>
    <t>ac7051d1-d051-467f-ac2a-c34b9e0b7b01</t>
  </si>
  <si>
    <t>Tammie Bright</t>
  </si>
  <si>
    <t>eb2ec80e-4c25-4823-8cf4-ffb0b4bba73f</t>
  </si>
  <si>
    <t>Jessica Garcia</t>
  </si>
  <si>
    <t>ac0f6801-15b2-4e1d-9715-46339d4edb71</t>
  </si>
  <si>
    <t>Shelia Wallace</t>
  </si>
  <si>
    <t>3d131a3d-1e2c-4e7d-902c-f0ee224a66a6</t>
  </si>
  <si>
    <t>Stephanie Williams</t>
  </si>
  <si>
    <t>Elaine Brooks</t>
  </si>
  <si>
    <t>5f90fc87-2edc-417e-9df0-5d184e2d6255</t>
  </si>
  <si>
    <t>Joseph Knight</t>
  </si>
  <si>
    <t>63725424-82c5-4b21-a430-12dab1850eb8</t>
  </si>
  <si>
    <t>Carolyn Miller</t>
  </si>
  <si>
    <t>93267d25-234b-4562-98af-5cca6b11b7cb</t>
  </si>
  <si>
    <t>7c966b55-2f8d-4ded-ac4c-450b623ad0fc</t>
  </si>
  <si>
    <t>Lisa Allen</t>
  </si>
  <si>
    <t>eb4e2281-b184-41fc-8991-b01aa2b03c4b</t>
  </si>
  <si>
    <t>Briana Murray</t>
  </si>
  <si>
    <t>2c591da8-fff9-4acf-ae42-05eea52fc3ec</t>
  </si>
  <si>
    <t>David Smith</t>
  </si>
  <si>
    <t>49f1137d-7d59-4e19-aab7-b2ef8e0ec033</t>
  </si>
  <si>
    <t>Stephanie Byrd</t>
  </si>
  <si>
    <t>d78c57d3-5088-40d3-afe5-b14023ea7956</t>
  </si>
  <si>
    <t>Jeremy Reed</t>
  </si>
  <si>
    <t>dd92dd7c-0db9-47a9-9e91-a71c7374ccbf</t>
  </si>
  <si>
    <t>Margaret Coleman</t>
  </si>
  <si>
    <t>7c0f549d-0274-4f73-b3ab-ea0d5be9fdb3</t>
  </si>
  <si>
    <t>Ryan Gonzalez</t>
  </si>
  <si>
    <t>624a2a50-d0b1-4de0-b1f3-f0c022f3f068</t>
  </si>
  <si>
    <t>John Young</t>
  </si>
  <si>
    <t>a72f947d-8164-42cb-8fc3-d7d3f6bd80c7</t>
  </si>
  <si>
    <t>Laura Haney</t>
  </si>
  <si>
    <t>7de1bf5d-af48-47f0-a8bd-075b7eb6581e</t>
  </si>
  <si>
    <t>William Barrett</t>
  </si>
  <si>
    <t>Keith Jennings</t>
  </si>
  <si>
    <t>71a0449d-d703-462f-b5cb-e3f56a66c184</t>
  </si>
  <si>
    <t>Amber Obrien</t>
  </si>
  <si>
    <t>90bde900-1529-46f5-aad1-1fe87d1b695e</t>
  </si>
  <si>
    <t>38749f3c-c2d4-4b56-8bbe-d98007e67cb0</t>
  </si>
  <si>
    <t>Tanner Mitchell DDS</t>
  </si>
  <si>
    <t>398f569b-465c-42cb-885e-b4894ac66780</t>
  </si>
  <si>
    <t>Heather Fields</t>
  </si>
  <si>
    <t>c7de96ea-2b0f-4e44-89e6-4c2289a0b7eb</t>
  </si>
  <si>
    <t>Megan Le</t>
  </si>
  <si>
    <t>c5c5ae8a-be15-4d12-90ce-77e9751303b9</t>
  </si>
  <si>
    <t>Sara Fuller</t>
  </si>
  <si>
    <t>82c42e48-8cba-4ae5-becc-daf4c4134dc2</t>
  </si>
  <si>
    <t>Maria Parker</t>
  </si>
  <si>
    <t>44945e09-1d3c-45a4-929d-63771cfb655f</t>
  </si>
  <si>
    <t>Kevin Oconnor</t>
  </si>
  <si>
    <t>fdab3441-d2c2-4960-8b09-01abc66dceb3</t>
  </si>
  <si>
    <t>Edward Burgess</t>
  </si>
  <si>
    <t>c1bcbe59-d296-412d-8ac3-5ac45deaa737</t>
  </si>
  <si>
    <t>Carlos Ryan</t>
  </si>
  <si>
    <t>70fd6672-b80f-46c5-828f-a16b0aa6fcb9</t>
  </si>
  <si>
    <t>Kiara Mcintyre</t>
  </si>
  <si>
    <t>6cd6f011-fd61-413b-b7f2-5d368bddcee3</t>
  </si>
  <si>
    <t>Dawn Summers</t>
  </si>
  <si>
    <t>a757075b-d47f-43b1-bc69-c1551a37f6bd</t>
  </si>
  <si>
    <t>Dr. Paul Morgan</t>
  </si>
  <si>
    <t>Victor Taylor</t>
  </si>
  <si>
    <t>dff389aa-4c36-470c-bf5e-3b8cc0582da5</t>
  </si>
  <si>
    <t>4347dbca-7321-48b2-8840-405affd2f491</t>
  </si>
  <si>
    <t>Shannon Ramsey</t>
  </si>
  <si>
    <t>164484a0-d115-4fff-9cb9-1d5f593c572b</t>
  </si>
  <si>
    <t>Tracy Ballard</t>
  </si>
  <si>
    <t>1e0d02b5-fe74-42cd-9d83-ad037066e289</t>
  </si>
  <si>
    <t>Richard Smith</t>
  </si>
  <si>
    <t>35ba9357-3ca8-4f31-8fd7-f3b9c68fcba5</t>
  </si>
  <si>
    <t>Jordan Chambers</t>
  </si>
  <si>
    <t>b06b0f0c-9682-4e22-bcd4-344fcf8a368e</t>
  </si>
  <si>
    <t>Lauren Carson</t>
  </si>
  <si>
    <t>9c3a1e0b-b5f3-48aa-9c6d-afff59c2f153</t>
  </si>
  <si>
    <t>Ashley Hall</t>
  </si>
  <si>
    <t>9dbc15c0-2a7d-457c-ad9c-5b50a1fd4187</t>
  </si>
  <si>
    <t>Stephen Hoffman</t>
  </si>
  <si>
    <t>d0437e4c-34e5-4699-88eb-e27a23a4e70e</t>
  </si>
  <si>
    <t>Connie Brown</t>
  </si>
  <si>
    <t>91f0647d-0f32-4333-8e31-593734fa32b6</t>
  </si>
  <si>
    <t>Susan Turner</t>
  </si>
  <si>
    <t>98cbaa52-47f5-4019-8843-8de259cf0b0d</t>
  </si>
  <si>
    <t>Charles Shah</t>
  </si>
  <si>
    <t>fa9fc10e-52da-4681-ab1a-c76c89ecbc51</t>
  </si>
  <si>
    <t>Johnathan Davis</t>
  </si>
  <si>
    <t>929ecc92-4a11-4e44-8aea-1b8fb43cde0a</t>
  </si>
  <si>
    <t>Brandy Chavez</t>
  </si>
  <si>
    <t>83b0b35c-dba6-4df8-b3d0-4ffb44709848</t>
  </si>
  <si>
    <t>Natalie Bautista</t>
  </si>
  <si>
    <t>d0afb235-ade6-4f51-a670-93a0fc48f615</t>
  </si>
  <si>
    <t>Patrick Moore</t>
  </si>
  <si>
    <t>c0062b5b-f678-49b2-a2b5-f4571860ad28</t>
  </si>
  <si>
    <t>Brett Burns</t>
  </si>
  <si>
    <t>0f2d5c15-eb34-4d3a-a95e-5ea9c9230c64</t>
  </si>
  <si>
    <t>Trevor Johnson</t>
  </si>
  <si>
    <t>a7e8d18e-ddf6-44ac-86fe-acd4fe1393cd</t>
  </si>
  <si>
    <t>Jeremy Sampson</t>
  </si>
  <si>
    <t>21f8072d-ddb7-470e-b390-b059207bbe21</t>
  </si>
  <si>
    <t>Ariana Jennings</t>
  </si>
  <si>
    <t>5274ee11-b61d-4906-a570-35db3fead90a</t>
  </si>
  <si>
    <t>Vanessa Howard</t>
  </si>
  <si>
    <t>d7f34368-c2ef-4ecb-bf5f-bf4fd4176230</t>
  </si>
  <si>
    <t>Colton Martinez</t>
  </si>
  <si>
    <t>24655c39-7d4d-4add-a488-0945ad1db537</t>
  </si>
  <si>
    <t>Jordan Bates</t>
  </si>
  <si>
    <t>a0b85755-44ca-45a2-a1e5-18a293d228d4</t>
  </si>
  <si>
    <t>Linda Smith</t>
  </si>
  <si>
    <t>135508d0-73b5-4ad5-a00b-4b356a0aa7d5</t>
  </si>
  <si>
    <t>Dana Martinez</t>
  </si>
  <si>
    <t>c4d598f7-e14f-4093-8b6a-d0c7a2356dd4</t>
  </si>
  <si>
    <t>Andrea Hubbard</t>
  </si>
  <si>
    <t>bff30c8d-83ff-4e96-a721-3a7017d50f59</t>
  </si>
  <si>
    <t>Daniel Kane</t>
  </si>
  <si>
    <t>e097dedb-efb3-4939-b1d8-18874739cc7b</t>
  </si>
  <si>
    <t>Charles Lester</t>
  </si>
  <si>
    <t>7cf07bb3-f343-49eb-b466-ef025e7b72c8</t>
  </si>
  <si>
    <t>Scott Thomas</t>
  </si>
  <si>
    <t>de70bd30-00a2-4367-94fb-09f053c93ae7</t>
  </si>
  <si>
    <t>David Thompson</t>
  </si>
  <si>
    <t>17d821b8-bb93-4d40-98df-f535c62dbaea</t>
  </si>
  <si>
    <t>Allison Smith</t>
  </si>
  <si>
    <t>a284e8fd-755c-4e2a-b8de-d777bb1e5ae8</t>
  </si>
  <si>
    <t>Cynthia Morris</t>
  </si>
  <si>
    <t>d9a09007-5bb4-4c18-b281-87c4aa055442</t>
  </si>
  <si>
    <t>Anthony Harmon</t>
  </si>
  <si>
    <t>65d0b517-88d0-4abd-8bb1-8c791036708d</t>
  </si>
  <si>
    <t>Nichole Alvarez</t>
  </si>
  <si>
    <t>d3293724-6dfd-471a-b7d7-465d37c3b3c9</t>
  </si>
  <si>
    <t>Kayla Rodriguez</t>
  </si>
  <si>
    <t>52a74a41-44be-4486-bea5-a387363be5cb</t>
  </si>
  <si>
    <t>Theresa Williams</t>
  </si>
  <si>
    <t>8c1c8b05-5677-4f36-8899-8e5fd40e53ce</t>
  </si>
  <si>
    <t>Sharon Boyd</t>
  </si>
  <si>
    <t>da385db5-90ee-4067-a16e-9fe593f37596</t>
  </si>
  <si>
    <t>Victor Brown</t>
  </si>
  <si>
    <t>e4e751de-57ff-41d9-89ce-44bd7c3f1add</t>
  </si>
  <si>
    <t>0bc2ea72-0c64-4ca2-8323-1466aebbb90e</t>
  </si>
  <si>
    <t>James Parks</t>
  </si>
  <si>
    <t>Theodore Jones Jr.</t>
  </si>
  <si>
    <t>d6321d31-c8ac-4fcf-a04d-4d14197dbae1</t>
  </si>
  <si>
    <t>Ana Hill</t>
  </si>
  <si>
    <t>edef5003-1fce-41e3-842b-03ca75a72686</t>
  </si>
  <si>
    <t>Kimberly Nguyen</t>
  </si>
  <si>
    <t>74de5f70-70f8-4dba-a871-9b9bdb8f0e32</t>
  </si>
  <si>
    <t>Kerry Chavez DDS</t>
  </si>
  <si>
    <t>6d84414d-f541-41ea-bde9-1c42002c4c22</t>
  </si>
  <si>
    <t>Michael Farrell</t>
  </si>
  <si>
    <t>e8cee951-b047-4ea4-bee5-ce6933cb202e</t>
  </si>
  <si>
    <t>Patricia Le</t>
  </si>
  <si>
    <t>4d470ed6-a666-4769-a1d4-6f8221c50e41</t>
  </si>
  <si>
    <t>Jesse Perez</t>
  </si>
  <si>
    <t>e0688849-eec7-4a30-9fda-35b228b2bf21</t>
  </si>
  <si>
    <t>Jesse Perry</t>
  </si>
  <si>
    <t>5c457e4d-a793-43b8-97e5-2113462623be</t>
  </si>
  <si>
    <t>Jeffery Ortega</t>
  </si>
  <si>
    <t>aa1d3fc6-5f31-473d-9519-830c40198303</t>
  </si>
  <si>
    <t>Christian Leblanc</t>
  </si>
  <si>
    <t>0d41ee47-2a5f-4a18-a61f-0b96e75f745a</t>
  </si>
  <si>
    <t>Ronald Davis</t>
  </si>
  <si>
    <t>b9da5f8c-4e35-4a80-a027-9a186576a410</t>
  </si>
  <si>
    <t>6de21429-3bf0-49c1-8156-e501b30e96e8</t>
  </si>
  <si>
    <t>Parker Cain</t>
  </si>
  <si>
    <t>185df528-b425-4e19-9758-d47ea7cde143</t>
  </si>
  <si>
    <t>Laurie Hoffman</t>
  </si>
  <si>
    <t>Bryan Gomez</t>
  </si>
  <si>
    <t>13f3cade-7a10-413f-b6a2-c52b00473139</t>
  </si>
  <si>
    <t>Nicole Parrish</t>
  </si>
  <si>
    <t>84fa4c72-39e7-44f1-97fb-613a21f89d06</t>
  </si>
  <si>
    <t>Tracy Burke</t>
  </si>
  <si>
    <t>02106371-0260-4123-b1ef-e72aae13591e</t>
  </si>
  <si>
    <t>Kenneth Lewis</t>
  </si>
  <si>
    <t>1edf3bfa-d12e-4eb5-97f4-79b5b212a6ee</t>
  </si>
  <si>
    <t>Courtney Rodriguez</t>
  </si>
  <si>
    <t>b1ac040d-6c1c-4405-9c3f-42e0fcf7b842</t>
  </si>
  <si>
    <t>Holly Farmer</t>
  </si>
  <si>
    <t>3a9c4308-1221-4ddf-ba4a-902f21d63b0f</t>
  </si>
  <si>
    <t>Renee Bruce</t>
  </si>
  <si>
    <t>ce532ffd-bb13-4f02-96de-66c96210def6</t>
  </si>
  <si>
    <t>Sabrina Austin</t>
  </si>
  <si>
    <t>5e1885c3-5037-4d6b-9a6b-6a7d1a38aad6</t>
  </si>
  <si>
    <t>Allison Hickman</t>
  </si>
  <si>
    <t>61fa01ba-231a-47c7-8c9b-ff5ce1887eaf</t>
  </si>
  <si>
    <t>Debra White</t>
  </si>
  <si>
    <t>dfdf0e05-c0ce-431b-9038-e153c601818b</t>
  </si>
  <si>
    <t>ad58db1b-fe31-437a-a43e-558c2215df00</t>
  </si>
  <si>
    <t>Ellen Morgan</t>
  </si>
  <si>
    <t>9033da65-87cf-43fd-9183-6c4f249204c7</t>
  </si>
  <si>
    <t>Sergio Knight</t>
  </si>
  <si>
    <t>2a038ad4-a667-4982-9c3d-e1b0022b6683</t>
  </si>
  <si>
    <t>Charles Schultz</t>
  </si>
  <si>
    <t>Paul Lewis</t>
  </si>
  <si>
    <t>368acd40-b8f1-4e3c-99e7-703a70aa5b0d</t>
  </si>
  <si>
    <t>Glen Wood</t>
  </si>
  <si>
    <t>eb7e2e64-26c0-447e-bf8e-8bfaa0c9da72</t>
  </si>
  <si>
    <t>Paula Bradley</t>
  </si>
  <si>
    <t>714011a1-afc2-4cfc-9db7-284b6965d1d1</t>
  </si>
  <si>
    <t>Anthony Moore</t>
  </si>
  <si>
    <t>e5871d89-1631-4fc6-b79d-58f9dc268108</t>
  </si>
  <si>
    <t>Megan Nelson</t>
  </si>
  <si>
    <t>1f873b46-c0a0-473a-a3d7-e6a119b814fc</t>
  </si>
  <si>
    <t>Karla Ramos</t>
  </si>
  <si>
    <t>59fe3d53-624f-4a4b-bae1-e13796ee50e5</t>
  </si>
  <si>
    <t>Paul Wilson</t>
  </si>
  <si>
    <t>ca840003-5083-4fef-adec-6bbdf69777a1</t>
  </si>
  <si>
    <t>Douglas Gregory</t>
  </si>
  <si>
    <t>a505da9c-46e7-4a2c-bf6e-ed9d23cbe943</t>
  </si>
  <si>
    <t>Mr. Andrew Foster</t>
  </si>
  <si>
    <t>99db1302-8dab-46d3-bf87-dfc2159152f2</t>
  </si>
  <si>
    <t>48f091f0-9b8b-48ae-b89f-3a92999a1d86</t>
  </si>
  <si>
    <t>Aimee Turner</t>
  </si>
  <si>
    <t>06ddf6ca-b0c3-4a59-b0f7-ad22c76a8e0f</t>
  </si>
  <si>
    <t>Chad Scott</t>
  </si>
  <si>
    <t>e03635fc-a88d-4108-98d9-94b8d90f74e9</t>
  </si>
  <si>
    <t>Adam Burgess</t>
  </si>
  <si>
    <t>9b5f8f39-848b-44f0-b498-17354d38e415</t>
  </si>
  <si>
    <t>James Padilla</t>
  </si>
  <si>
    <t>Sandra Drake</t>
  </si>
  <si>
    <t>6449cb6f-bf72-4e52-b04b-237082701238</t>
  </si>
  <si>
    <t>Scott Williams</t>
  </si>
  <si>
    <t>c8a738ab-0df8-4e12-a56b-61e04ba8a4ca</t>
  </si>
  <si>
    <t>Thomas Atkins</t>
  </si>
  <si>
    <t>3d4574eb-f465-4a21-8b35-097ae5dd98f1</t>
  </si>
  <si>
    <t>Laura Mckinney</t>
  </si>
  <si>
    <t>3db788a6-1cdc-44c2-a2c9-65b27eb0f62a</t>
  </si>
  <si>
    <t>Brian Smith</t>
  </si>
  <si>
    <t>122dd7be-980b-481e-a359-5d1f7fe4a42e</t>
  </si>
  <si>
    <t>Robert Montgomery</t>
  </si>
  <si>
    <t>0316d2d6-fa4a-48ef-a383-7348873dc8bd</t>
  </si>
  <si>
    <t>Tamara Davis</t>
  </si>
  <si>
    <t>51045a16-ef15-4b72-9c70-ee97fca45567</t>
  </si>
  <si>
    <t>Dana Chapman</t>
  </si>
  <si>
    <t>d6c6f45c-dc5e-4e78-a307-d4d121c9a15d</t>
  </si>
  <si>
    <t>8bde005b-5d8b-4bd7-abbd-b66f91816091</t>
  </si>
  <si>
    <t>Jennifer Collins</t>
  </si>
  <si>
    <t>78946a15-c342-41db-ac3a-acdcaed54a46</t>
  </si>
  <si>
    <t>Gary Jackson</t>
  </si>
  <si>
    <t>12af97e4-c536-466e-bcc4-091bf45707c6</t>
  </si>
  <si>
    <t>Ashley Hicks</t>
  </si>
  <si>
    <t>benue</t>
  </si>
  <si>
    <t>0387f74d-1149-4096-965d-744f0445c1a8</t>
  </si>
  <si>
    <t>Hannah Luna</t>
  </si>
  <si>
    <t>ec2e2815-0a32-47d2-b73a-edf8431e930f</t>
  </si>
  <si>
    <t>Robin Young</t>
  </si>
  <si>
    <t>Craig Morrison</t>
  </si>
  <si>
    <t>65e1b0f5-ca0e-48c4-b2dc-b12b0f7ae302</t>
  </si>
  <si>
    <t>Mary Thompson</t>
  </si>
  <si>
    <t>b66edbf4-a0ea-4251-8957-43a281b13b80</t>
  </si>
  <si>
    <t>Kathleen Webster</t>
  </si>
  <si>
    <t>6c6f6d2e-6a59-4043-8461-52348044beb2</t>
  </si>
  <si>
    <t>Joann Glass</t>
  </si>
  <si>
    <t>a3fa4069-1519-4d38-a6fb-a71db3a9dcaa</t>
  </si>
  <si>
    <t>Madison Weber</t>
  </si>
  <si>
    <t>271610c1-9db5-4283-89a3-c811895c4fde</t>
  </si>
  <si>
    <t>Lori Hernandez</t>
  </si>
  <si>
    <t>143ac1c5-4f56-4ed5-9566-9e364708203b</t>
  </si>
  <si>
    <t>Jeremy Turner</t>
  </si>
  <si>
    <t>f96c9a0a-3404-402a-abc1-bb5282e4dd4a</t>
  </si>
  <si>
    <t>53a5e850-8950-4dd6-a7c6-cbb1cedd069d</t>
  </si>
  <si>
    <t>Anthony Romero</t>
  </si>
  <si>
    <t>c362a810-a261-4b8d-9620-bee66406face</t>
  </si>
  <si>
    <t>Jesse Brown</t>
  </si>
  <si>
    <t>a4a5c736-ae59-4a52-a65b-e22bd5a386d9</t>
  </si>
  <si>
    <t>Angela Lin</t>
  </si>
  <si>
    <t>6fff15cc-b2dc-4c34-8f67-448e10eceb1f</t>
  </si>
  <si>
    <t>Lisa Hunter</t>
  </si>
  <si>
    <t>3d175712-d8b2-4277-b413-db19bade8d5d</t>
  </si>
  <si>
    <t>Julian Conner</t>
  </si>
  <si>
    <t>ecb4678c-1612-4aa6-be96-39ba0ed2ec9d</t>
  </si>
  <si>
    <t>Joanna Pacheco</t>
  </si>
  <si>
    <t>Erica Alvarez</t>
  </si>
  <si>
    <t>9cbf7b8c-7410-4d5d-9db1-4bfc6f3a5115</t>
  </si>
  <si>
    <t>Antonio Garcia</t>
  </si>
  <si>
    <t>aa8430f8-4f2d-4233-8e16-5b129bdc70d1</t>
  </si>
  <si>
    <t>Gwendolyn Klein</t>
  </si>
  <si>
    <t>2cf72140-bd9b-4648-a876-1e85bddfa03a</t>
  </si>
  <si>
    <t>Carrie Wright</t>
  </si>
  <si>
    <t>23204ff5-b538-496c-833e-02f71e93d127</t>
  </si>
  <si>
    <t>Jeffrey Mills</t>
  </si>
  <si>
    <t>7f14eafa-29f0-4f7c-82e7-df89b3957a98</t>
  </si>
  <si>
    <t>Jake Campbell</t>
  </si>
  <si>
    <t>8468b74d-85e3-4de5-98c1-aad6f3f8dea4</t>
  </si>
  <si>
    <t>425e0259-b884-46d2-928f-cf68c871d7b3</t>
  </si>
  <si>
    <t>George Harper</t>
  </si>
  <si>
    <t>bff15840-207e-463f-9f32-d5d82abe1585</t>
  </si>
  <si>
    <t>Maria Jones</t>
  </si>
  <si>
    <t>bba1aed9-44cd-4fdd-9f9b-141ec7f7bda1</t>
  </si>
  <si>
    <t>Michael Mitchell</t>
  </si>
  <si>
    <t>e65fad87-c57c-4498-9e38-f711e2ec13f4</t>
  </si>
  <si>
    <t>Mary Escobar</t>
  </si>
  <si>
    <t>6de8370a-ce9e-4ebd-95c3-48530783e43c</t>
  </si>
  <si>
    <t>Felicia Aguilar</t>
  </si>
  <si>
    <t>4350ab06-1059-4a28-861b-4f5b45a08539</t>
  </si>
  <si>
    <t>Gregory Ponce</t>
  </si>
  <si>
    <t>a0a5fde6-939f-41a2-b99c-ea5cb65ad0f1</t>
  </si>
  <si>
    <t>Jenna Larson</t>
  </si>
  <si>
    <t>Emily Bennett</t>
  </si>
  <si>
    <t>82c299f0-7487-4772-bf03-86fa13badc91</t>
  </si>
  <si>
    <t>Robin Santiago</t>
  </si>
  <si>
    <t>dbff00b0-7fe6-40f3-8e31-41ec5c311464</t>
  </si>
  <si>
    <t>Nancy Jennings</t>
  </si>
  <si>
    <t>28457780-5e20-4957-aab8-bd33911f730b</t>
  </si>
  <si>
    <t>Maria Henderson</t>
  </si>
  <si>
    <t>e4eec67c-1a57-49e4-85f8-e2f8414f4994</t>
  </si>
  <si>
    <t>Jack White</t>
  </si>
  <si>
    <t>1d8680cb-b908-40f3-ac93-281a92ebeab0</t>
  </si>
  <si>
    <t>00a85473-8242-4912-bda3-c1623a78b64a</t>
  </si>
  <si>
    <t>Travis Tucker</t>
  </si>
  <si>
    <t>03254fbd-dce8-41c5-9bd3-0aec0b461173</t>
  </si>
  <si>
    <t>Chad Jones</t>
  </si>
  <si>
    <t>5d2d904f-78c5-4073-8bc5-72073e9aec86</t>
  </si>
  <si>
    <t>Ashley Wise</t>
  </si>
  <si>
    <t>2dd0622e-266b-42ea-ab93-f78c620af158</t>
  </si>
  <si>
    <t>Sophia Johnson</t>
  </si>
  <si>
    <t>090d9655-db84-4660-b5d8-fb91ee6081ac</t>
  </si>
  <si>
    <t>Ralph Anderson</t>
  </si>
  <si>
    <t>b6ca1127-e9f8-4970-8d98-f9e28d888beb</t>
  </si>
  <si>
    <t>Christopher Guerra</t>
  </si>
  <si>
    <t>3979d5f5-6b5b-4975-a7dc-2bc0bd9c4693</t>
  </si>
  <si>
    <t>Rhonda Martin</t>
  </si>
  <si>
    <t>ea75752d-6a8f-4acb-bf8e-2d0d52619dec</t>
  </si>
  <si>
    <t>Jason Rhodes</t>
  </si>
  <si>
    <t>Jeremy Mitchell</t>
  </si>
  <si>
    <t>d3748a11-4571-4959-91e7-44e4b864ca08</t>
  </si>
  <si>
    <t>Joann Ferguson</t>
  </si>
  <si>
    <t>1e910f36-5f70-4b25-9250-2e5913f06822</t>
  </si>
  <si>
    <t>Robert Harrison</t>
  </si>
  <si>
    <t>0d7bec04-e6e5-4b32-ac5f-12ef8085c147</t>
  </si>
  <si>
    <t>Holly Valentine</t>
  </si>
  <si>
    <t>8409c5ea-cde9-48b3-b922-a7e42de982f8</t>
  </si>
  <si>
    <t>66a302d6-f43e-4c48-8bc1-f9e5fb3df063</t>
  </si>
  <si>
    <t>Mrs. Diane Reyes</t>
  </si>
  <si>
    <t>ddb449dc-7710-4966-a082-7f7611a529b4</t>
  </si>
  <si>
    <t>Tracy Montoya</t>
  </si>
  <si>
    <t>4f89e3b2-d847-4c53-8605-e58a48454343</t>
  </si>
  <si>
    <t>Brenda Wright</t>
  </si>
  <si>
    <t>74ed5145-8d97-45c7-961d-5c8753c9fe59</t>
  </si>
  <si>
    <t>Shelly Spencer</t>
  </si>
  <si>
    <t>4aa5f9d3-335f-4f59-9e71-7fca020a4497</t>
  </si>
  <si>
    <t>Ryan Rosales</t>
  </si>
  <si>
    <t>bd54da04-4dcd-4009-88d5-77179055a36f</t>
  </si>
  <si>
    <t>Phillip Nelson</t>
  </si>
  <si>
    <t>5e472e22-76c3-4642-be19-fc1d9f6a6a65</t>
  </si>
  <si>
    <t>Brittany Kim</t>
  </si>
  <si>
    <t>ff6ef9ed-7e4c-429f-b8cb-ab4c97790e84</t>
  </si>
  <si>
    <t>Courtney Hayes</t>
  </si>
  <si>
    <t>bb82b796-3207-443e-86a0-7656c5c9fb91</t>
  </si>
  <si>
    <t>Alexander Brown</t>
  </si>
  <si>
    <t>Cynthia Vang</t>
  </si>
  <si>
    <t>cbc4ec0e-c2ae-4674-8beb-4e78e68373a3</t>
  </si>
  <si>
    <t>Alfred Galvan</t>
  </si>
  <si>
    <t>eeb19ad2-01a1-4b0f-a68b-84b63ec0a285</t>
  </si>
  <si>
    <t>Marie Moody</t>
  </si>
  <si>
    <t>8aa2b4c9-3ba5-4d76-861e-fb9568f82063</t>
  </si>
  <si>
    <t>b186a5a8-d6ee-426b-a2cd-159058af393c</t>
  </si>
  <si>
    <t>Dustin Gallegos</t>
  </si>
  <si>
    <t>55c3b2db-f374-490d-8274-ce40e09016b6</t>
  </si>
  <si>
    <t>Brenda Thornton</t>
  </si>
  <si>
    <t>60538c1b-a845-40a1-8249-2e5e005fd0e6</t>
  </si>
  <si>
    <t>Aaron Miller</t>
  </si>
  <si>
    <t>4eb9047d-ba2a-43d9-bcf2-fc3bd95874c2</t>
  </si>
  <si>
    <t>Ruben Dunn</t>
  </si>
  <si>
    <t>fbad793f-87a1-4c02-b487-9e411a9c672a</t>
  </si>
  <si>
    <t>Kelsey Rodriguez</t>
  </si>
  <si>
    <t>f610396b-7df5-4abf-ab79-0d013cf88d20</t>
  </si>
  <si>
    <t>Eric Williams</t>
  </si>
  <si>
    <t>247296a4-ff38-4918-b8f9-a45d0f554896</t>
  </si>
  <si>
    <t>Riley Bryant</t>
  </si>
  <si>
    <t>0b3d0c36-17d0-4810-87a2-a10bb62edb49</t>
  </si>
  <si>
    <t>Taylor Carlson</t>
  </si>
  <si>
    <t>d872f72e-e5b4-41ae-bb41-c943ebd8a3b1</t>
  </si>
  <si>
    <t>Jose Allen</t>
  </si>
  <si>
    <t>e5449887-b36a-43ed-a9be-173a850ef0ad</t>
  </si>
  <si>
    <t>Jeffrey Mendez</t>
  </si>
  <si>
    <t>Jason Beck</t>
  </si>
  <si>
    <t>bf7655d7-f97c-4c3c-b55d-814b5f5ba255</t>
  </si>
  <si>
    <t>William Jones</t>
  </si>
  <si>
    <t>8163b6ce-1877-4c06-94ad-625215bc2a3e</t>
  </si>
  <si>
    <t>64f434d6-d1e9-4691-a320-9116222df6a4</t>
  </si>
  <si>
    <t>Katie Mcneil</t>
  </si>
  <si>
    <t>0ff1c51f-915c-431b-9786-7b1213281726</t>
  </si>
  <si>
    <t>Jeanette Harrison</t>
  </si>
  <si>
    <t>21761930-f6d7-4248-a995-ecc36f5b09a6</t>
  </si>
  <si>
    <t>Veronica King</t>
  </si>
  <si>
    <t>d9d57b02-42d0-4d55-8aab-47b23c9d128a</t>
  </si>
  <si>
    <t>Richard Cooper</t>
  </si>
  <si>
    <t>64988bde-cd02-44db-ad11-15d750a46c85</t>
  </si>
  <si>
    <t>Lori Ingram</t>
  </si>
  <si>
    <t>53853918-bc40-45fa-94f7-6322b362c0d2</t>
  </si>
  <si>
    <t>Evelyn Williams</t>
  </si>
  <si>
    <t>3bcdf203-459e-4674-b3e7-f042516c3b0a</t>
  </si>
  <si>
    <t>Robin Thompson</t>
  </si>
  <si>
    <t>22d839d3-33e4-4986-b18c-ccdc131eb723</t>
  </si>
  <si>
    <t>Julie Dominguez</t>
  </si>
  <si>
    <t>1be5a4c3-95af-4d0c-8528-5425c7a9f33c</t>
  </si>
  <si>
    <t>Robin Brown</t>
  </si>
  <si>
    <t>7316ce64-2a14-4a96-9b0c-62eb27c8fc6c</t>
  </si>
  <si>
    <t>Judith Carter</t>
  </si>
  <si>
    <t>1ee89a4c-6811-44e2-9064-7c59774f6354</t>
  </si>
  <si>
    <t>Curtis Williams</t>
  </si>
  <si>
    <t>Kaylee Hays</t>
  </si>
  <si>
    <t>c534ca08-f6f2-4d1c-9bb8-b9c8893259f3</t>
  </si>
  <si>
    <t>769de1e3-4eed-4124-b3b0-d6763527a5c8</t>
  </si>
  <si>
    <t>Dawn Mullins</t>
  </si>
  <si>
    <t>1725d2c7-1eb2-47b8-9a3c-45ca43d78f2b</t>
  </si>
  <si>
    <t>Howard Norman</t>
  </si>
  <si>
    <t>4de1087b-afa1-4a55-8ebe-abaa28597b34</t>
  </si>
  <si>
    <t>Evelyn Martinez</t>
  </si>
  <si>
    <t>9a72083c-b266-486c-b467-88bdd38e13e4</t>
  </si>
  <si>
    <t>Steve Paul</t>
  </si>
  <si>
    <t>db4862c2-d5ff-4a1f-b70b-9a290a530df9</t>
  </si>
  <si>
    <t>Jasmine Beltran</t>
  </si>
  <si>
    <t>b60e695c-1759-4a96-a5f8-8c7453ea4919</t>
  </si>
  <si>
    <t>Jonathan Glass MD</t>
  </si>
  <si>
    <t>657046ea-5b11-451f-b7e9-101d3f8b4433</t>
  </si>
  <si>
    <t>Monica Miller</t>
  </si>
  <si>
    <t>4c80d33a-ad5b-43c8-8c88-0714837217e0</t>
  </si>
  <si>
    <t>Samantha Gardner</t>
  </si>
  <si>
    <t>2c82989f-fd9c-4bb0-91f1-6485429a4a7c</t>
  </si>
  <si>
    <t>Bobby Guerrero</t>
  </si>
  <si>
    <t>dac726b6-6786-4fb3-b3bc-9a7107f4fee5</t>
  </si>
  <si>
    <t>Lance Simmons</t>
  </si>
  <si>
    <t>8cd4b90a-bf82-41bc-8e52-fc4273c374a6</t>
  </si>
  <si>
    <t>Heather Williams</t>
  </si>
  <si>
    <t>1a16998c-7648-476e-983f-ea703ff6579e</t>
  </si>
  <si>
    <t>Heather Bolton</t>
  </si>
  <si>
    <t>1f178f93-23c9-4a1e-8b37-1d97cdcc2d6a</t>
  </si>
  <si>
    <t>William Gould</t>
  </si>
  <si>
    <t>c7ecfe71-d493-47fc-8fc9-8d2e030f9be9</t>
  </si>
  <si>
    <t>Mark Cox</t>
  </si>
  <si>
    <t>32b8d8aa-2176-4dd7-b8e7-e019fb8986c8</t>
  </si>
  <si>
    <t>Meghan Cisneros</t>
  </si>
  <si>
    <t>afb06406-5f4b-4a97-a68c-879bd2dc42c8</t>
  </si>
  <si>
    <t>Lawrence Harrington</t>
  </si>
  <si>
    <t>15839b99-a50a-43dc-b004-e897a15b2e18</t>
  </si>
  <si>
    <t>Austin Osborne</t>
  </si>
  <si>
    <t>eadc9960-4242-41e2-960b-e0f495132c22</t>
  </si>
  <si>
    <t>James Bradley</t>
  </si>
  <si>
    <t>ff45f8a2-0594-424f-9332-5c31d010318a</t>
  </si>
  <si>
    <t>Meghan Rush</t>
  </si>
  <si>
    <t>a55f65b7-e709-4ba6-b29f-c41710813d45</t>
  </si>
  <si>
    <t>Phillip Berry</t>
  </si>
  <si>
    <t>178be968-20f8-4ba2-8f2e-32967184b713</t>
  </si>
  <si>
    <t>Jennifer Banks</t>
  </si>
  <si>
    <t>cf133b65-d450-4fa2-98e7-0aebe7b33085</t>
  </si>
  <si>
    <t>Brian Fitzgerald</t>
  </si>
  <si>
    <t>f1394e3c-0aee-4557-9f5d-f91254e07431</t>
  </si>
  <si>
    <t>Mr. Justin Green III</t>
  </si>
  <si>
    <t>ec93e596-2b01-4723-8cf6-97a57603c36c</t>
  </si>
  <si>
    <t>Zachary Mitchell</t>
  </si>
  <si>
    <t>b9744cde-d259-4960-aee3-560792ea1324</t>
  </si>
  <si>
    <t>Katherine Martinez</t>
  </si>
  <si>
    <t>61fa8e7a-078c-46ce-bf02-23bc651ea252</t>
  </si>
  <si>
    <t>Jodi Roach</t>
  </si>
  <si>
    <t>5a9c0679-2c3d-47e2-ad39-da75aee70ab2</t>
  </si>
  <si>
    <t>Brandon Fleming</t>
  </si>
  <si>
    <t>46653497-2fe9-42aa-a886-a01136f7a26c</t>
  </si>
  <si>
    <t>unknown</t>
  </si>
  <si>
    <t xml:space="preserve">Oyo </t>
  </si>
  <si>
    <t>TImothy Duncan</t>
  </si>
  <si>
    <t>TImothy Romero</t>
  </si>
  <si>
    <t>HeadPhones</t>
  </si>
  <si>
    <t>Unkwown</t>
  </si>
  <si>
    <t>Unknown</t>
  </si>
  <si>
    <t>Row Labels</t>
  </si>
  <si>
    <t>Grand Total</t>
  </si>
  <si>
    <t>Sum of Total Sale</t>
  </si>
  <si>
    <t>Average of Unit Price</t>
  </si>
  <si>
    <t>Sum of Units Sold</t>
  </si>
  <si>
    <t>Average of Total Sale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</si>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</sst>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4" fontId="0" fillId="0" borderId="0" xfId="0" applyNumberFormat="1"/>
    <xf numFmtId="11" fontId="0" fillId="0" borderId="0" xfId="0" applyNumberFormat="1"/>
    <xf numFmtId="0" fontId="0" fillId="0" borderId="10" xfId="0" applyBorder="1"/>
    <xf numFmtId="14" fontId="0" fillId="0" borderId="10" xfId="0" applyNumberFormat="1" applyBorder="1"/>
    <xf numFmtId="0" fontId="0" fillId="0" borderId="11" xfId="0" applyBorder="1"/>
    <xf numFmtId="0" fontId="0" fillId="0" borderId="12" xfId="0" applyBorder="1"/>
    <xf numFmtId="11" fontId="0" fillId="0" borderId="12" xfId="0" applyNumberForma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B338C8"/>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dLbl>
          <c:idx val="0"/>
          <c:layout>
            <c:manualLayout>
              <c:x val="-1.0185067526415994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0008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00080"/>
          </a:solidFill>
          <a:ln>
            <a:noFill/>
          </a:ln>
          <a:effectLst/>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0080"/>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80"/>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rgbClr val="800080"/>
            </a:solidFill>
            <a:ln>
              <a:noFill/>
            </a:ln>
            <a:effectLst/>
          </c:spPr>
          <c:invertIfNegative val="0"/>
          <c:dPt>
            <c:idx val="1"/>
            <c:invertIfNegative val="0"/>
            <c:bubble3D val="0"/>
            <c:extLst>
              <c:ext xmlns:c16="http://schemas.microsoft.com/office/drawing/2014/chart" uri="{C3380CC4-5D6E-409C-BE32-E72D297353CC}">
                <c16:uniqueId val="{00000006-0192-40A8-A694-F2D4A2537FAA}"/>
              </c:ext>
            </c:extLst>
          </c:dPt>
          <c:dPt>
            <c:idx val="2"/>
            <c:invertIfNegative val="0"/>
            <c:bubble3D val="0"/>
            <c:spPr>
              <a:solidFill>
                <a:srgbClr val="800080"/>
              </a:solidFill>
              <a:ln>
                <a:noFill/>
              </a:ln>
              <a:effectLst/>
            </c:spPr>
            <c:extLst>
              <c:ext xmlns:c16="http://schemas.microsoft.com/office/drawing/2014/chart" uri="{C3380CC4-5D6E-409C-BE32-E72D297353CC}">
                <c16:uniqueId val="{00000005-0192-40A8-A694-F2D4A2537FAA}"/>
              </c:ext>
            </c:extLst>
          </c:dPt>
          <c:dPt>
            <c:idx val="3"/>
            <c:invertIfNegative val="0"/>
            <c:bubble3D val="0"/>
            <c:spPr>
              <a:solidFill>
                <a:srgbClr val="800080"/>
              </a:solidFill>
              <a:ln>
                <a:noFill/>
              </a:ln>
              <a:effectLst/>
            </c:spPr>
            <c:extLst>
              <c:ext xmlns:c16="http://schemas.microsoft.com/office/drawing/2014/chart" uri="{C3380CC4-5D6E-409C-BE32-E72D297353CC}">
                <c16:uniqueId val="{00000004-0192-40A8-A694-F2D4A2537FAA}"/>
              </c:ext>
            </c:extLst>
          </c:dPt>
          <c:dPt>
            <c:idx val="4"/>
            <c:invertIfNegative val="0"/>
            <c:bubble3D val="0"/>
            <c:spPr>
              <a:solidFill>
                <a:srgbClr val="800080"/>
              </a:solidFill>
              <a:ln>
                <a:noFill/>
              </a:ln>
              <a:effectLst/>
            </c:spPr>
            <c:extLst>
              <c:ext xmlns:c16="http://schemas.microsoft.com/office/drawing/2014/chart" uri="{C3380CC4-5D6E-409C-BE32-E72D297353CC}">
                <c16:uniqueId val="{00000003-0192-40A8-A694-F2D4A2537FAA}"/>
              </c:ext>
            </c:extLst>
          </c:dPt>
          <c:dPt>
            <c:idx val="5"/>
            <c:invertIfNegative val="0"/>
            <c:bubble3D val="0"/>
            <c:spPr>
              <a:solidFill>
                <a:srgbClr val="800080"/>
              </a:solidFill>
              <a:ln>
                <a:noFill/>
              </a:ln>
              <a:effectLst/>
            </c:spPr>
            <c:extLst>
              <c:ext xmlns:c16="http://schemas.microsoft.com/office/drawing/2014/chart" uri="{C3380CC4-5D6E-409C-BE32-E72D297353CC}">
                <c16:uniqueId val="{00000002-0192-40A8-A694-F2D4A2537FAA}"/>
              </c:ext>
            </c:extLst>
          </c:dPt>
          <c:dPt>
            <c:idx val="6"/>
            <c:invertIfNegative val="0"/>
            <c:bubble3D val="0"/>
            <c:spPr>
              <a:solidFill>
                <a:srgbClr val="800080"/>
              </a:solidFill>
              <a:ln>
                <a:noFill/>
              </a:ln>
              <a:effectLst/>
            </c:spPr>
            <c:extLst>
              <c:ext xmlns:c16="http://schemas.microsoft.com/office/drawing/2014/chart" uri="{C3380CC4-5D6E-409C-BE32-E72D297353CC}">
                <c16:uniqueId val="{00000001-0192-40A8-A694-F2D4A2537FAA}"/>
              </c:ext>
            </c:extLst>
          </c:dPt>
          <c:dLbls>
            <c:dLbl>
              <c:idx val="2"/>
              <c:layout>
                <c:manualLayout>
                  <c:x val="0"/>
                  <c:y val="8.79629629629629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92-40A8-A694-F2D4A2537FAA}"/>
                </c:ext>
              </c:extLst>
            </c:dLbl>
            <c:dLbl>
              <c:idx val="3"/>
              <c:layout>
                <c:manualLayout>
                  <c:x val="2.7777777777777779E-3"/>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92-40A8-A694-F2D4A2537FAA}"/>
                </c:ext>
              </c:extLst>
            </c:dLbl>
            <c:dLbl>
              <c:idx val="4"/>
              <c:layout>
                <c:manualLayout>
                  <c:x val="0"/>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92-40A8-A694-F2D4A2537FAA}"/>
                </c:ext>
              </c:extLst>
            </c:dLbl>
            <c:dLbl>
              <c:idx val="5"/>
              <c:layout>
                <c:manualLayout>
                  <c:x val="-1.0185067526415994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92-40A8-A694-F2D4A2537FAA}"/>
                </c:ext>
              </c:extLst>
            </c:dLbl>
            <c:dLbl>
              <c:idx val="6"/>
              <c:layout>
                <c:manualLayout>
                  <c:x val="-2.7777777777777779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92-40A8-A694-F2D4A2537F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Sheet3!$B$4:$B$13</c:f>
              <c:numCache>
                <c:formatCode>General</c:formatCode>
                <c:ptCount val="9"/>
                <c:pt idx="0">
                  <c:v>383120692.32799995</c:v>
                </c:pt>
                <c:pt idx="1">
                  <c:v>400218895.69199979</c:v>
                </c:pt>
                <c:pt idx="2">
                  <c:v>433719672.64400005</c:v>
                </c:pt>
                <c:pt idx="3">
                  <c:v>733295436.03599989</c:v>
                </c:pt>
                <c:pt idx="4">
                  <c:v>441632935.6820001</c:v>
                </c:pt>
                <c:pt idx="5">
                  <c:v>488973408.79000014</c:v>
                </c:pt>
                <c:pt idx="6">
                  <c:v>507226303.21600002</c:v>
                </c:pt>
                <c:pt idx="7">
                  <c:v>633848616.12000012</c:v>
                </c:pt>
              </c:numCache>
            </c:numRef>
          </c:val>
          <c:extLst>
            <c:ext xmlns:c16="http://schemas.microsoft.com/office/drawing/2014/chart" uri="{C3380CC4-5D6E-409C-BE32-E72D297353CC}">
              <c16:uniqueId val="{00000000-0192-40A8-A694-F2D4A2537FAA}"/>
            </c:ext>
          </c:extLst>
        </c:ser>
        <c:dLbls>
          <c:dLblPos val="outEnd"/>
          <c:showLegendKey val="0"/>
          <c:showVal val="1"/>
          <c:showCatName val="0"/>
          <c:showSerName val="0"/>
          <c:showPercent val="0"/>
          <c:showBubbleSize val="0"/>
        </c:dLbls>
        <c:gapWidth val="219"/>
        <c:overlap val="-27"/>
        <c:axId val="2076459968"/>
        <c:axId val="2076464544"/>
      </c:barChart>
      <c:catAx>
        <c:axId val="207645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64544"/>
        <c:crosses val="autoZero"/>
        <c:auto val="1"/>
        <c:lblAlgn val="ctr"/>
        <c:lblOffset val="100"/>
        <c:noMultiLvlLbl val="0"/>
      </c:catAx>
      <c:valAx>
        <c:axId val="207646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(Autosaved).xlsx]Sheet3!PivotTable3</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a:t>Total Sales by State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Sheet3!$B$20</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Sheet3!$A$21:$A$42</c:f>
              <c:strCache>
                <c:ptCount val="21"/>
                <c:pt idx="0">
                  <c:v>Abuja</c:v>
                </c:pt>
                <c:pt idx="1">
                  <c:v>Anambra</c:v>
                </c:pt>
                <c:pt idx="2">
                  <c:v>Bauchi</c:v>
                </c:pt>
                <c:pt idx="3">
                  <c:v>Benue</c:v>
                </c:pt>
                <c:pt idx="4">
                  <c:v>Borno</c:v>
                </c:pt>
                <c:pt idx="5">
                  <c:v>Cross River</c:v>
                </c:pt>
                <c:pt idx="6">
                  <c:v>Delta</c:v>
                </c:pt>
                <c:pt idx="7">
                  <c:v>Ekiti</c:v>
                </c:pt>
                <c:pt idx="8">
                  <c:v>Enugu</c:v>
                </c:pt>
                <c:pt idx="9">
                  <c:v>Imo</c:v>
                </c:pt>
                <c:pt idx="10">
                  <c:v>Kaduna</c:v>
                </c:pt>
                <c:pt idx="11">
                  <c:v>Kano</c:v>
                </c:pt>
                <c:pt idx="12">
                  <c:v>Katsina</c:v>
                </c:pt>
                <c:pt idx="13">
                  <c:v>Lagos</c:v>
                </c:pt>
                <c:pt idx="14">
                  <c:v>Niger</c:v>
                </c:pt>
                <c:pt idx="15">
                  <c:v>Osun</c:v>
                </c:pt>
                <c:pt idx="16">
                  <c:v>Oyo </c:v>
                </c:pt>
                <c:pt idx="17">
                  <c:v>Plateau</c:v>
                </c:pt>
                <c:pt idx="18">
                  <c:v>Rivers</c:v>
                </c:pt>
                <c:pt idx="19">
                  <c:v>Sokoto</c:v>
                </c:pt>
                <c:pt idx="20">
                  <c:v>(blank)</c:v>
                </c:pt>
              </c:strCache>
            </c:strRef>
          </c:cat>
          <c:val>
            <c:numRef>
              <c:f>Sheet3!$B$21:$B$42</c:f>
              <c:numCache>
                <c:formatCode>General</c:formatCode>
                <c:ptCount val="21"/>
                <c:pt idx="0">
                  <c:v>174913860.07600003</c:v>
                </c:pt>
                <c:pt idx="1">
                  <c:v>206751262.87999997</c:v>
                </c:pt>
                <c:pt idx="2">
                  <c:v>187723757.46399999</c:v>
                </c:pt>
                <c:pt idx="3">
                  <c:v>192388598.60399997</c:v>
                </c:pt>
                <c:pt idx="4">
                  <c:v>113959615.87999997</c:v>
                </c:pt>
                <c:pt idx="5">
                  <c:v>124796064.242</c:v>
                </c:pt>
                <c:pt idx="6">
                  <c:v>289175500.02000004</c:v>
                </c:pt>
                <c:pt idx="7">
                  <c:v>185610358.19399998</c:v>
                </c:pt>
                <c:pt idx="8">
                  <c:v>219173786.54599997</c:v>
                </c:pt>
                <c:pt idx="9">
                  <c:v>276541210.98800004</c:v>
                </c:pt>
                <c:pt idx="10">
                  <c:v>210406043.90400001</c:v>
                </c:pt>
                <c:pt idx="11">
                  <c:v>273679420.09799999</c:v>
                </c:pt>
                <c:pt idx="12">
                  <c:v>209587693.664</c:v>
                </c:pt>
                <c:pt idx="13">
                  <c:v>170809514.40799993</c:v>
                </c:pt>
                <c:pt idx="14">
                  <c:v>211004645.77400002</c:v>
                </c:pt>
                <c:pt idx="15">
                  <c:v>187114342.77199998</c:v>
                </c:pt>
                <c:pt idx="16">
                  <c:v>207793104.58200002</c:v>
                </c:pt>
                <c:pt idx="17">
                  <c:v>150061357.25</c:v>
                </c:pt>
                <c:pt idx="18">
                  <c:v>229303543.45599997</c:v>
                </c:pt>
                <c:pt idx="19">
                  <c:v>201242279.70599997</c:v>
                </c:pt>
              </c:numCache>
            </c:numRef>
          </c:val>
          <c:extLst>
            <c:ext xmlns:c16="http://schemas.microsoft.com/office/drawing/2014/chart" uri="{C3380CC4-5D6E-409C-BE32-E72D297353CC}">
              <c16:uniqueId val="{00000000-53A7-4D7C-ABB5-E474CB95B989}"/>
            </c:ext>
          </c:extLst>
        </c:ser>
        <c:dLbls>
          <c:dLblPos val="outEnd"/>
          <c:showLegendKey val="0"/>
          <c:showVal val="1"/>
          <c:showCatName val="0"/>
          <c:showSerName val="0"/>
          <c:showPercent val="0"/>
          <c:showBubbleSize val="0"/>
        </c:dLbls>
        <c:gapWidth val="219"/>
        <c:overlap val="-27"/>
        <c:axId val="1416788624"/>
        <c:axId val="1416797360"/>
      </c:barChart>
      <c:catAx>
        <c:axId val="14167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97360"/>
        <c:crosses val="autoZero"/>
        <c:auto val="1"/>
        <c:lblAlgn val="ctr"/>
        <c:lblOffset val="100"/>
        <c:noMultiLvlLbl val="0"/>
      </c:catAx>
      <c:valAx>
        <c:axId val="141679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8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tx1">
                <a:lumMod val="65000"/>
                <a:lumOff val="35000"/>
              </a:schemeClr>
            </a:solidFill>
          </a:ln>
          <a:effectLst/>
        </c:spPr>
      </c:pivotFmt>
      <c:pivotFmt>
        <c:idx val="2"/>
        <c:spPr>
          <a:solidFill>
            <a:schemeClr val="bg2">
              <a:lumMod val="50000"/>
            </a:schemeClr>
          </a:solidFill>
          <a:ln w="19050">
            <a:solidFill>
              <a:schemeClr val="bg2">
                <a:lumMod val="90000"/>
              </a:schemeClr>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Sheet3!$B$44</c:f>
              <c:strCache>
                <c:ptCount val="1"/>
                <c:pt idx="0">
                  <c:v>Total</c:v>
                </c:pt>
              </c:strCache>
            </c:strRef>
          </c:tx>
          <c:dPt>
            <c:idx val="0"/>
            <c:bubble3D val="0"/>
            <c:spPr>
              <a:solidFill>
                <a:schemeClr val="bg2">
                  <a:lumMod val="50000"/>
                </a:schemeClr>
              </a:solidFill>
              <a:ln w="19050">
                <a:solidFill>
                  <a:schemeClr val="bg2">
                    <a:lumMod val="90000"/>
                  </a:schemeClr>
                </a:solidFill>
              </a:ln>
              <a:effectLst/>
            </c:spPr>
            <c:extLst>
              <c:ext xmlns:c16="http://schemas.microsoft.com/office/drawing/2014/chart" uri="{C3380CC4-5D6E-409C-BE32-E72D297353CC}">
                <c16:uniqueId val="{00000002-0B3B-4E2F-B1E9-BC8E8352BD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AA-4D1F-9597-F4C579512D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AA-4D1F-9597-F4C579512D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AA-4D1F-9597-F4C579512D84}"/>
              </c:ext>
            </c:extLst>
          </c:dPt>
          <c:dPt>
            <c:idx val="4"/>
            <c:bubble3D val="0"/>
            <c:spPr>
              <a:solidFill>
                <a:schemeClr val="accent5"/>
              </a:solidFill>
              <a:ln w="19050">
                <a:solidFill>
                  <a:schemeClr val="tx1">
                    <a:lumMod val="65000"/>
                    <a:lumOff val="35000"/>
                  </a:schemeClr>
                </a:solidFill>
              </a:ln>
              <a:effectLst/>
            </c:spPr>
            <c:extLst>
              <c:ext xmlns:c16="http://schemas.microsoft.com/office/drawing/2014/chart" uri="{C3380CC4-5D6E-409C-BE32-E72D297353CC}">
                <c16:uniqueId val="{00000001-0B3B-4E2F-B1E9-BC8E8352BD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AA-4D1F-9597-F4C579512D8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Sheet3!$A$45:$A$51</c:f>
              <c:strCache>
                <c:ptCount val="6"/>
                <c:pt idx="0">
                  <c:v>Direct</c:v>
                </c:pt>
                <c:pt idx="1">
                  <c:v>Online</c:v>
                </c:pt>
                <c:pt idx="2">
                  <c:v>Retail</c:v>
                </c:pt>
                <c:pt idx="3">
                  <c:v>Unkwown</c:v>
                </c:pt>
                <c:pt idx="4">
                  <c:v>Wholesale</c:v>
                </c:pt>
                <c:pt idx="5">
                  <c:v>(blank)</c:v>
                </c:pt>
              </c:strCache>
            </c:strRef>
          </c:cat>
          <c:val>
            <c:numRef>
              <c:f>Sheet3!$B$45:$B$51</c:f>
              <c:numCache>
                <c:formatCode>General</c:formatCode>
                <c:ptCount val="6"/>
                <c:pt idx="0">
                  <c:v>881755670.63999963</c:v>
                </c:pt>
                <c:pt idx="1">
                  <c:v>756889241.72200012</c:v>
                </c:pt>
                <c:pt idx="2">
                  <c:v>826194109.56799996</c:v>
                </c:pt>
                <c:pt idx="3">
                  <c:v>793444278.3779999</c:v>
                </c:pt>
                <c:pt idx="4">
                  <c:v>763752660.20000005</c:v>
                </c:pt>
              </c:numCache>
            </c:numRef>
          </c:val>
          <c:extLst>
            <c:ext xmlns:c16="http://schemas.microsoft.com/office/drawing/2014/chart" uri="{C3380CC4-5D6E-409C-BE32-E72D297353CC}">
              <c16:uniqueId val="{00000000-0B3B-4E2F-B1E9-BC8E8352BD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 Sales by</a:t>
            </a:r>
            <a:r>
              <a:rPr lang="en-US" sz="1200" baseline="0"/>
              <a:t> Customer</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Sheet3!$B$63</c:f>
              <c:strCache>
                <c:ptCount val="1"/>
                <c:pt idx="0">
                  <c:v>Total</c:v>
                </c:pt>
              </c:strCache>
            </c:strRef>
          </c:tx>
          <c:spPr>
            <a:solidFill>
              <a:schemeClr val="accent1"/>
            </a:solidFill>
            <a:ln>
              <a:noFill/>
            </a:ln>
            <a:effectLst/>
          </c:spPr>
          <c:invertIfNegative val="0"/>
          <c:cat>
            <c:strRef>
              <c:f>Sheet3!$A$64:$A$572</c:f>
              <c:strCache>
                <c:ptCount val="508"/>
                <c:pt idx="0">
                  <c:v>Aaron Miller</c:v>
                </c:pt>
                <c:pt idx="1">
                  <c:v>Aaron Wise</c:v>
                </c:pt>
                <c:pt idx="2">
                  <c:v>Abigail Shaffer</c:v>
                </c:pt>
                <c:pt idx="3">
                  <c:v>Adam Burgess</c:v>
                </c:pt>
                <c:pt idx="4">
                  <c:v>Adam Vaughan</c:v>
                </c:pt>
                <c:pt idx="5">
                  <c:v>Aimee Montoya</c:v>
                </c:pt>
                <c:pt idx="6">
                  <c:v>Aimee Turner</c:v>
                </c:pt>
                <c:pt idx="7">
                  <c:v>Alex Hernandez</c:v>
                </c:pt>
                <c:pt idx="8">
                  <c:v>Alexander Brown</c:v>
                </c:pt>
                <c:pt idx="9">
                  <c:v>Alexander Collins</c:v>
                </c:pt>
                <c:pt idx="10">
                  <c:v>Alfred Galvan</c:v>
                </c:pt>
                <c:pt idx="11">
                  <c:v>Allen Rosales</c:v>
                </c:pt>
                <c:pt idx="12">
                  <c:v>Allison Hickman</c:v>
                </c:pt>
                <c:pt idx="13">
                  <c:v>Allison Hill</c:v>
                </c:pt>
                <c:pt idx="14">
                  <c:v>Allison Smith</c:v>
                </c:pt>
                <c:pt idx="15">
                  <c:v>Alyssa Day</c:v>
                </c:pt>
                <c:pt idx="16">
                  <c:v>Alyssa Long</c:v>
                </c:pt>
                <c:pt idx="17">
                  <c:v>Amanda Jones</c:v>
                </c:pt>
                <c:pt idx="18">
                  <c:v>Amber Kidd</c:v>
                </c:pt>
                <c:pt idx="19">
                  <c:v>Amber Obrien</c:v>
                </c:pt>
                <c:pt idx="20">
                  <c:v>Amber Wright</c:v>
                </c:pt>
                <c:pt idx="21">
                  <c:v>Amy Silva</c:v>
                </c:pt>
                <c:pt idx="22">
                  <c:v>Ana Hill</c:v>
                </c:pt>
                <c:pt idx="23">
                  <c:v>Andrea Hubbard</c:v>
                </c:pt>
                <c:pt idx="24">
                  <c:v>Andrew Avila</c:v>
                </c:pt>
                <c:pt idx="25">
                  <c:v>Andrew Reynolds</c:v>
                </c:pt>
                <c:pt idx="26">
                  <c:v>Angel Perry</c:v>
                </c:pt>
                <c:pt idx="27">
                  <c:v>Angela Lin</c:v>
                </c:pt>
                <c:pt idx="28">
                  <c:v>Angela Lopez</c:v>
                </c:pt>
                <c:pt idx="29">
                  <c:v>Angela Vaughn</c:v>
                </c:pt>
                <c:pt idx="30">
                  <c:v>Angelica Keith</c:v>
                </c:pt>
                <c:pt idx="31">
                  <c:v>Angelica Tucker</c:v>
                </c:pt>
                <c:pt idx="32">
                  <c:v>Angie Henderson</c:v>
                </c:pt>
                <c:pt idx="33">
                  <c:v>Anna Henderson</c:v>
                </c:pt>
                <c:pt idx="34">
                  <c:v>Anthony Everett</c:v>
                </c:pt>
                <c:pt idx="35">
                  <c:v>Anthony Harmon</c:v>
                </c:pt>
                <c:pt idx="36">
                  <c:v>Anthony Humphrey</c:v>
                </c:pt>
                <c:pt idx="37">
                  <c:v>Anthony Moore</c:v>
                </c:pt>
                <c:pt idx="38">
                  <c:v>Anthony Rodriguez</c:v>
                </c:pt>
                <c:pt idx="39">
                  <c:v>Anthony Romero</c:v>
                </c:pt>
                <c:pt idx="40">
                  <c:v>Antonio Garcia</c:v>
                </c:pt>
                <c:pt idx="41">
                  <c:v>April Frost</c:v>
                </c:pt>
                <c:pt idx="42">
                  <c:v>Ariana Jennings</c:v>
                </c:pt>
                <c:pt idx="43">
                  <c:v>Ashley Barton</c:v>
                </c:pt>
                <c:pt idx="44">
                  <c:v>Ashley Hall</c:v>
                </c:pt>
                <c:pt idx="45">
                  <c:v>Ashley Hicks</c:v>
                </c:pt>
                <c:pt idx="46">
                  <c:v>Ashley Waller</c:v>
                </c:pt>
                <c:pt idx="47">
                  <c:v>Ashley Wise</c:v>
                </c:pt>
                <c:pt idx="48">
                  <c:v>Austin Osborne</c:v>
                </c:pt>
                <c:pt idx="49">
                  <c:v>Bailey Duran DDS</c:v>
                </c:pt>
                <c:pt idx="50">
                  <c:v>Barbara Dudley</c:v>
                </c:pt>
                <c:pt idx="51">
                  <c:v>Benjamin Smith</c:v>
                </c:pt>
                <c:pt idx="52">
                  <c:v>Bobby Guerrero</c:v>
                </c:pt>
                <c:pt idx="53">
                  <c:v>Brandon Bailey MD</c:v>
                </c:pt>
                <c:pt idx="54">
                  <c:v>Brandon Fleming</c:v>
                </c:pt>
                <c:pt idx="55">
                  <c:v>Brandy Chavez</c:v>
                </c:pt>
                <c:pt idx="56">
                  <c:v>Brenda Hall</c:v>
                </c:pt>
                <c:pt idx="57">
                  <c:v>Brenda Thornton</c:v>
                </c:pt>
                <c:pt idx="58">
                  <c:v>Brenda Wright</c:v>
                </c:pt>
                <c:pt idx="59">
                  <c:v>Brent Jordan</c:v>
                </c:pt>
                <c:pt idx="60">
                  <c:v>Brett Burns</c:v>
                </c:pt>
                <c:pt idx="61">
                  <c:v>Brian Fitzgerald</c:v>
                </c:pt>
                <c:pt idx="62">
                  <c:v>Brian Lee</c:v>
                </c:pt>
                <c:pt idx="63">
                  <c:v>Brian Ramirez</c:v>
                </c:pt>
                <c:pt idx="64">
                  <c:v>Brian Rodriguez</c:v>
                </c:pt>
                <c:pt idx="65">
                  <c:v>Brian Smith</c:v>
                </c:pt>
                <c:pt idx="66">
                  <c:v>Briana Murray</c:v>
                </c:pt>
                <c:pt idx="67">
                  <c:v>Brittany Farmer</c:v>
                </c:pt>
                <c:pt idx="68">
                  <c:v>Brittany Kim</c:v>
                </c:pt>
                <c:pt idx="69">
                  <c:v>Brittney Phillips</c:v>
                </c:pt>
                <c:pt idx="70">
                  <c:v>Bryan Gomez</c:v>
                </c:pt>
                <c:pt idx="71">
                  <c:v>Bryan Herrera</c:v>
                </c:pt>
                <c:pt idx="72">
                  <c:v>Cameron Fisher</c:v>
                </c:pt>
                <c:pt idx="73">
                  <c:v>Cameron Parker</c:v>
                </c:pt>
                <c:pt idx="74">
                  <c:v>Carla Gray</c:v>
                </c:pt>
                <c:pt idx="75">
                  <c:v>Carlos Ryan</c:v>
                </c:pt>
                <c:pt idx="76">
                  <c:v>Carol Tucker</c:v>
                </c:pt>
                <c:pt idx="77">
                  <c:v>Carolyn Miller</c:v>
                </c:pt>
                <c:pt idx="78">
                  <c:v>Carrie Wright</c:v>
                </c:pt>
                <c:pt idx="79">
                  <c:v>Cassandra Gaines</c:v>
                </c:pt>
                <c:pt idx="80">
                  <c:v>Cathy Robinson</c:v>
                </c:pt>
                <c:pt idx="81">
                  <c:v>Chad Jones</c:v>
                </c:pt>
                <c:pt idx="82">
                  <c:v>Chad Scott</c:v>
                </c:pt>
                <c:pt idx="83">
                  <c:v>Charles Lester</c:v>
                </c:pt>
                <c:pt idx="84">
                  <c:v>Charles Schultz</c:v>
                </c:pt>
                <c:pt idx="85">
                  <c:v>Charles Shah</c:v>
                </c:pt>
                <c:pt idx="86">
                  <c:v>Cheyenne Horton</c:v>
                </c:pt>
                <c:pt idx="87">
                  <c:v>Christian Leblanc</c:v>
                </c:pt>
                <c:pt idx="88">
                  <c:v>Christina Walters</c:v>
                </c:pt>
                <c:pt idx="89">
                  <c:v>Christine Wright</c:v>
                </c:pt>
                <c:pt idx="90">
                  <c:v>Christopher Bass</c:v>
                </c:pt>
                <c:pt idx="91">
                  <c:v>Christopher Guerra</c:v>
                </c:pt>
                <c:pt idx="92">
                  <c:v>Christopher Parker</c:v>
                </c:pt>
                <c:pt idx="93">
                  <c:v>Christopher Rubio</c:v>
                </c:pt>
                <c:pt idx="94">
                  <c:v>Christopher Smith</c:v>
                </c:pt>
                <c:pt idx="95">
                  <c:v>Colin Terry</c:v>
                </c:pt>
                <c:pt idx="96">
                  <c:v>Colton Martinez</c:v>
                </c:pt>
                <c:pt idx="97">
                  <c:v>Connie Brown</c:v>
                </c:pt>
                <c:pt idx="98">
                  <c:v>Connie Lawrence</c:v>
                </c:pt>
                <c:pt idx="99">
                  <c:v>Connor West</c:v>
                </c:pt>
                <c:pt idx="100">
                  <c:v>Courtney Gonzalez</c:v>
                </c:pt>
                <c:pt idx="101">
                  <c:v>Courtney Hayes</c:v>
                </c:pt>
                <c:pt idx="102">
                  <c:v>Courtney Mills</c:v>
                </c:pt>
                <c:pt idx="103">
                  <c:v>Courtney Rodriguez</c:v>
                </c:pt>
                <c:pt idx="104">
                  <c:v>Craig Morrison</c:v>
                </c:pt>
                <c:pt idx="105">
                  <c:v>Cristian Santos</c:v>
                </c:pt>
                <c:pt idx="106">
                  <c:v>Crystal Johnson</c:v>
                </c:pt>
                <c:pt idx="107">
                  <c:v>Crystal Robinson</c:v>
                </c:pt>
                <c:pt idx="108">
                  <c:v>Curtis Williams</c:v>
                </c:pt>
                <c:pt idx="109">
                  <c:v>Cynthia Moore</c:v>
                </c:pt>
                <c:pt idx="110">
                  <c:v>Cynthia Morris</c:v>
                </c:pt>
                <c:pt idx="111">
                  <c:v>Cynthia Rowe</c:v>
                </c:pt>
                <c:pt idx="112">
                  <c:v>Cynthia Vang</c:v>
                </c:pt>
                <c:pt idx="113">
                  <c:v>Dana Chapman</c:v>
                </c:pt>
                <c:pt idx="114">
                  <c:v>Dana Martinez</c:v>
                </c:pt>
                <c:pt idx="115">
                  <c:v>Daniel Baker</c:v>
                </c:pt>
                <c:pt idx="116">
                  <c:v>Daniel Kane</c:v>
                </c:pt>
                <c:pt idx="117">
                  <c:v>Daniel Kennedy</c:v>
                </c:pt>
                <c:pt idx="118">
                  <c:v>Daniel Murphy</c:v>
                </c:pt>
                <c:pt idx="119">
                  <c:v>Daniel Salinas</c:v>
                </c:pt>
                <c:pt idx="120">
                  <c:v>Daniel Wagner</c:v>
                </c:pt>
                <c:pt idx="121">
                  <c:v>Danny Morgan</c:v>
                </c:pt>
                <c:pt idx="122">
                  <c:v>Darlene Miller</c:v>
                </c:pt>
                <c:pt idx="123">
                  <c:v>David Alvarez</c:v>
                </c:pt>
                <c:pt idx="124">
                  <c:v>David Davis</c:v>
                </c:pt>
                <c:pt idx="125">
                  <c:v>David Douglas Jr.</c:v>
                </c:pt>
                <c:pt idx="126">
                  <c:v>David Martinez</c:v>
                </c:pt>
                <c:pt idx="127">
                  <c:v>David Smith</c:v>
                </c:pt>
                <c:pt idx="128">
                  <c:v>David Thompson</c:v>
                </c:pt>
                <c:pt idx="129">
                  <c:v>David Wright</c:v>
                </c:pt>
                <c:pt idx="130">
                  <c:v>Dawn Mullins</c:v>
                </c:pt>
                <c:pt idx="131">
                  <c:v>Dawn Summers</c:v>
                </c:pt>
                <c:pt idx="132">
                  <c:v>Deborah Figueroa</c:v>
                </c:pt>
                <c:pt idx="133">
                  <c:v>Debra Christian</c:v>
                </c:pt>
                <c:pt idx="134">
                  <c:v>Debra Davidson</c:v>
                </c:pt>
                <c:pt idx="135">
                  <c:v>Debra Morton</c:v>
                </c:pt>
                <c:pt idx="136">
                  <c:v>Debra White</c:v>
                </c:pt>
                <c:pt idx="137">
                  <c:v>Denise Davenport</c:v>
                </c:pt>
                <c:pt idx="138">
                  <c:v>Denise Jacobs</c:v>
                </c:pt>
                <c:pt idx="139">
                  <c:v>Denise Jones</c:v>
                </c:pt>
                <c:pt idx="140">
                  <c:v>Denise Mccann</c:v>
                </c:pt>
                <c:pt idx="141">
                  <c:v>Derek Zuniga</c:v>
                </c:pt>
                <c:pt idx="142">
                  <c:v>Desiree Tyler</c:v>
                </c:pt>
                <c:pt idx="143">
                  <c:v>Devon Flores</c:v>
                </c:pt>
                <c:pt idx="144">
                  <c:v>Diana May</c:v>
                </c:pt>
                <c:pt idx="145">
                  <c:v>Diane Evans</c:v>
                </c:pt>
                <c:pt idx="146">
                  <c:v>Donald Wright</c:v>
                </c:pt>
                <c:pt idx="147">
                  <c:v>Donna Landry</c:v>
                </c:pt>
                <c:pt idx="148">
                  <c:v>Douglas Gregory</c:v>
                </c:pt>
                <c:pt idx="149">
                  <c:v>Dr. Hannah Patterson</c:v>
                </c:pt>
                <c:pt idx="150">
                  <c:v>Dr. Paul Morgan</c:v>
                </c:pt>
                <c:pt idx="151">
                  <c:v>Dr. William Warren</c:v>
                </c:pt>
                <c:pt idx="152">
                  <c:v>Dustin Gallegos</c:v>
                </c:pt>
                <c:pt idx="153">
                  <c:v>Dustin Jordan</c:v>
                </c:pt>
                <c:pt idx="154">
                  <c:v>Dylan Miller</c:v>
                </c:pt>
                <c:pt idx="155">
                  <c:v>Edward Burgess</c:v>
                </c:pt>
                <c:pt idx="156">
                  <c:v>Elaine Brooks</c:v>
                </c:pt>
                <c:pt idx="157">
                  <c:v>Elizabeth Fowler</c:v>
                </c:pt>
                <c:pt idx="158">
                  <c:v>Elizabeth Kelley</c:v>
                </c:pt>
                <c:pt idx="159">
                  <c:v>Elizabeth Oliver DDS</c:v>
                </c:pt>
                <c:pt idx="160">
                  <c:v>Elizabeth Perkins</c:v>
                </c:pt>
                <c:pt idx="161">
                  <c:v>Ellen Morgan</c:v>
                </c:pt>
                <c:pt idx="162">
                  <c:v>Emily Bennett</c:v>
                </c:pt>
                <c:pt idx="163">
                  <c:v>Eric Carney</c:v>
                </c:pt>
                <c:pt idx="164">
                  <c:v>Eric Williams</c:v>
                </c:pt>
                <c:pt idx="165">
                  <c:v>Erica Alvarez</c:v>
                </c:pt>
                <c:pt idx="166">
                  <c:v>Erin Edwards</c:v>
                </c:pt>
                <c:pt idx="167">
                  <c:v>Erin Warner</c:v>
                </c:pt>
                <c:pt idx="168">
                  <c:v>Ethan Adams</c:v>
                </c:pt>
                <c:pt idx="169">
                  <c:v>Evelyn Galvan</c:v>
                </c:pt>
                <c:pt idx="170">
                  <c:v>Evelyn Martinez</c:v>
                </c:pt>
                <c:pt idx="171">
                  <c:v>Evelyn Williams</c:v>
                </c:pt>
                <c:pt idx="172">
                  <c:v>Felicia Aguilar</c:v>
                </c:pt>
                <c:pt idx="173">
                  <c:v>Frank Cordova</c:v>
                </c:pt>
                <c:pt idx="174">
                  <c:v>Fred Smith</c:v>
                </c:pt>
                <c:pt idx="175">
                  <c:v>Gabrielle Davis</c:v>
                </c:pt>
                <c:pt idx="176">
                  <c:v>Garrett Lin</c:v>
                </c:pt>
                <c:pt idx="177">
                  <c:v>Gary Jackson</c:v>
                </c:pt>
                <c:pt idx="178">
                  <c:v>George Harper</c:v>
                </c:pt>
                <c:pt idx="179">
                  <c:v>Gerald Hensley</c:v>
                </c:pt>
                <c:pt idx="180">
                  <c:v>Gina Moore</c:v>
                </c:pt>
                <c:pt idx="181">
                  <c:v>Glen Wood</c:v>
                </c:pt>
                <c:pt idx="182">
                  <c:v>Gregory Ponce</c:v>
                </c:pt>
                <c:pt idx="183">
                  <c:v>Gwendolyn Klein</c:v>
                </c:pt>
                <c:pt idx="184">
                  <c:v>Hannah Luna</c:v>
                </c:pt>
                <c:pt idx="185">
                  <c:v>Heather Bolton</c:v>
                </c:pt>
                <c:pt idx="186">
                  <c:v>Heather Fields</c:v>
                </c:pt>
                <c:pt idx="187">
                  <c:v>Heather Williams</c:v>
                </c:pt>
                <c:pt idx="188">
                  <c:v>Helen Jones</c:v>
                </c:pt>
                <c:pt idx="189">
                  <c:v>Holly Farmer</c:v>
                </c:pt>
                <c:pt idx="190">
                  <c:v>Holly Valentine</c:v>
                </c:pt>
                <c:pt idx="191">
                  <c:v>Holly Wood</c:v>
                </c:pt>
                <c:pt idx="192">
                  <c:v>Howard Norman</c:v>
                </c:pt>
                <c:pt idx="193">
                  <c:v>Isaiah Avila</c:v>
                </c:pt>
                <c:pt idx="194">
                  <c:v>Jack White</c:v>
                </c:pt>
                <c:pt idx="195">
                  <c:v>Jake Campbell</c:v>
                </c:pt>
                <c:pt idx="196">
                  <c:v>James Bradley</c:v>
                </c:pt>
                <c:pt idx="197">
                  <c:v>James Brown</c:v>
                </c:pt>
                <c:pt idx="198">
                  <c:v>James Ferrell</c:v>
                </c:pt>
                <c:pt idx="199">
                  <c:v>James Padilla</c:v>
                </c:pt>
                <c:pt idx="200">
                  <c:v>James Parks</c:v>
                </c:pt>
                <c:pt idx="201">
                  <c:v>Jamie Arnold</c:v>
                </c:pt>
                <c:pt idx="202">
                  <c:v>Jamie Smith</c:v>
                </c:pt>
                <c:pt idx="203">
                  <c:v>Jamie Walton</c:v>
                </c:pt>
                <c:pt idx="204">
                  <c:v>Jasmin Alvarado</c:v>
                </c:pt>
                <c:pt idx="205">
                  <c:v>Jasmine Beltran</c:v>
                </c:pt>
                <c:pt idx="206">
                  <c:v>Jason Beck</c:v>
                </c:pt>
                <c:pt idx="207">
                  <c:v>Jason Powell</c:v>
                </c:pt>
                <c:pt idx="208">
                  <c:v>Jason Rhodes</c:v>
                </c:pt>
                <c:pt idx="209">
                  <c:v>Jason Stein</c:v>
                </c:pt>
                <c:pt idx="210">
                  <c:v>Jeanette Harrison</c:v>
                </c:pt>
                <c:pt idx="211">
                  <c:v>Jeffery Ortega</c:v>
                </c:pt>
                <c:pt idx="212">
                  <c:v>Jeffrey Chandler</c:v>
                </c:pt>
                <c:pt idx="213">
                  <c:v>Jeffrey Chavez</c:v>
                </c:pt>
                <c:pt idx="214">
                  <c:v>Jeffrey Johnson</c:v>
                </c:pt>
                <c:pt idx="215">
                  <c:v>Jeffrey Mendez</c:v>
                </c:pt>
                <c:pt idx="216">
                  <c:v>Jeffrey Mills</c:v>
                </c:pt>
                <c:pt idx="217">
                  <c:v>Jenna Larson</c:v>
                </c:pt>
                <c:pt idx="218">
                  <c:v>Jennifer Adkins</c:v>
                </c:pt>
                <c:pt idx="219">
                  <c:v>Jennifer Banks</c:v>
                </c:pt>
                <c:pt idx="220">
                  <c:v>Jennifer Collins</c:v>
                </c:pt>
                <c:pt idx="221">
                  <c:v>Jeremy Dalton</c:v>
                </c:pt>
                <c:pt idx="222">
                  <c:v>Jeremy Mitchell</c:v>
                </c:pt>
                <c:pt idx="223">
                  <c:v>Jeremy Reed</c:v>
                </c:pt>
                <c:pt idx="224">
                  <c:v>Jeremy Sampson</c:v>
                </c:pt>
                <c:pt idx="225">
                  <c:v>Jeremy Turner</c:v>
                </c:pt>
                <c:pt idx="226">
                  <c:v>Jesse Brown</c:v>
                </c:pt>
                <c:pt idx="227">
                  <c:v>Jesse Perez</c:v>
                </c:pt>
                <c:pt idx="228">
                  <c:v>Jesse Perry</c:v>
                </c:pt>
                <c:pt idx="229">
                  <c:v>Jessica Callahan</c:v>
                </c:pt>
                <c:pt idx="230">
                  <c:v>Jessica Garcia</c:v>
                </c:pt>
                <c:pt idx="231">
                  <c:v>Jessica Gross</c:v>
                </c:pt>
                <c:pt idx="232">
                  <c:v>Jessica Holmes</c:v>
                </c:pt>
                <c:pt idx="233">
                  <c:v>Jessica Smith</c:v>
                </c:pt>
                <c:pt idx="234">
                  <c:v>Jessica Stephens</c:v>
                </c:pt>
                <c:pt idx="235">
                  <c:v>Joann Ferguson</c:v>
                </c:pt>
                <c:pt idx="236">
                  <c:v>Joann Glass</c:v>
                </c:pt>
                <c:pt idx="237">
                  <c:v>Joanna Pacheco</c:v>
                </c:pt>
                <c:pt idx="238">
                  <c:v>Jodi Roach</c:v>
                </c:pt>
                <c:pt idx="239">
                  <c:v>Joel Williams</c:v>
                </c:pt>
                <c:pt idx="240">
                  <c:v>John Anderson</c:v>
                </c:pt>
                <c:pt idx="241">
                  <c:v>John Bishop</c:v>
                </c:pt>
                <c:pt idx="242">
                  <c:v>John Daniel</c:v>
                </c:pt>
                <c:pt idx="243">
                  <c:v>John Pierce</c:v>
                </c:pt>
                <c:pt idx="244">
                  <c:v>John Whitehead</c:v>
                </c:pt>
                <c:pt idx="245">
                  <c:v>John Young</c:v>
                </c:pt>
                <c:pt idx="246">
                  <c:v>Johnathan Davis</c:v>
                </c:pt>
                <c:pt idx="247">
                  <c:v>Jonathan Glass MD</c:v>
                </c:pt>
                <c:pt idx="248">
                  <c:v>Jonathan Lawrence</c:v>
                </c:pt>
                <c:pt idx="249">
                  <c:v>Jonathan Peterson</c:v>
                </c:pt>
                <c:pt idx="250">
                  <c:v>Jordan Bates</c:v>
                </c:pt>
                <c:pt idx="251">
                  <c:v>Jordan Chambers</c:v>
                </c:pt>
                <c:pt idx="252">
                  <c:v>Jordan Henderson</c:v>
                </c:pt>
                <c:pt idx="253">
                  <c:v>Jose Allen</c:v>
                </c:pt>
                <c:pt idx="254">
                  <c:v>Jose Schultz</c:v>
                </c:pt>
                <c:pt idx="255">
                  <c:v>Jose Travis</c:v>
                </c:pt>
                <c:pt idx="256">
                  <c:v>Joseph Coleman</c:v>
                </c:pt>
                <c:pt idx="257">
                  <c:v>Joseph Knight</c:v>
                </c:pt>
                <c:pt idx="258">
                  <c:v>Joshua Blair</c:v>
                </c:pt>
                <c:pt idx="259">
                  <c:v>Joshua Cooke</c:v>
                </c:pt>
                <c:pt idx="260">
                  <c:v>Joshua Perry</c:v>
                </c:pt>
                <c:pt idx="261">
                  <c:v>Joshua Reed</c:v>
                </c:pt>
                <c:pt idx="262">
                  <c:v>Joyce Bowen</c:v>
                </c:pt>
                <c:pt idx="263">
                  <c:v>Joyce Solis</c:v>
                </c:pt>
                <c:pt idx="264">
                  <c:v>Judith Carter</c:v>
                </c:pt>
                <c:pt idx="265">
                  <c:v>Judy Baker</c:v>
                </c:pt>
                <c:pt idx="266">
                  <c:v>Julia Torres</c:v>
                </c:pt>
                <c:pt idx="267">
                  <c:v>Julian Conner</c:v>
                </c:pt>
                <c:pt idx="268">
                  <c:v>Julie Alexander</c:v>
                </c:pt>
                <c:pt idx="269">
                  <c:v>Julie Dominguez</c:v>
                </c:pt>
                <c:pt idx="270">
                  <c:v>Justin Baker</c:v>
                </c:pt>
                <c:pt idx="271">
                  <c:v>Justin Torres</c:v>
                </c:pt>
                <c:pt idx="272">
                  <c:v>Karen Graham</c:v>
                </c:pt>
                <c:pt idx="273">
                  <c:v>Karla Ramos</c:v>
                </c:pt>
                <c:pt idx="274">
                  <c:v>Katherine Martinez</c:v>
                </c:pt>
                <c:pt idx="275">
                  <c:v>Katherine Salas</c:v>
                </c:pt>
                <c:pt idx="276">
                  <c:v>Kathleen Moran</c:v>
                </c:pt>
                <c:pt idx="277">
                  <c:v>Kathleen Webster</c:v>
                </c:pt>
                <c:pt idx="278">
                  <c:v>Kathryn Snyder</c:v>
                </c:pt>
                <c:pt idx="279">
                  <c:v>Kathy Rivas</c:v>
                </c:pt>
                <c:pt idx="280">
                  <c:v>Katie Mcneil</c:v>
                </c:pt>
                <c:pt idx="281">
                  <c:v>Katie Suarez</c:v>
                </c:pt>
                <c:pt idx="282">
                  <c:v>Kayla Rodriguez</c:v>
                </c:pt>
                <c:pt idx="283">
                  <c:v>Kaylee Hays</c:v>
                </c:pt>
                <c:pt idx="284">
                  <c:v>Keith Jennings</c:v>
                </c:pt>
                <c:pt idx="285">
                  <c:v>Kelly Donovan</c:v>
                </c:pt>
                <c:pt idx="286">
                  <c:v>Kelsey Rodriguez</c:v>
                </c:pt>
                <c:pt idx="287">
                  <c:v>Kenneth Lewis</c:v>
                </c:pt>
                <c:pt idx="288">
                  <c:v>Kenneth Scott</c:v>
                </c:pt>
                <c:pt idx="289">
                  <c:v>Kerry Chavez DDS</c:v>
                </c:pt>
                <c:pt idx="290">
                  <c:v>Kevin Oconnor</c:v>
                </c:pt>
                <c:pt idx="291">
                  <c:v>Kevin Walters</c:v>
                </c:pt>
                <c:pt idx="292">
                  <c:v>Kiara Mcintyre</c:v>
                </c:pt>
                <c:pt idx="293">
                  <c:v>Kimberly Gibson</c:v>
                </c:pt>
                <c:pt idx="294">
                  <c:v>Kimberly Gutierrez</c:v>
                </c:pt>
                <c:pt idx="295">
                  <c:v>Kimberly Nguyen</c:v>
                </c:pt>
                <c:pt idx="296">
                  <c:v>Kirk Carter</c:v>
                </c:pt>
                <c:pt idx="297">
                  <c:v>Krista Gibson</c:v>
                </c:pt>
                <c:pt idx="298">
                  <c:v>Kristen Davis</c:v>
                </c:pt>
                <c:pt idx="299">
                  <c:v>Lance Simmons</c:v>
                </c:pt>
                <c:pt idx="300">
                  <c:v>Larry Dixon</c:v>
                </c:pt>
                <c:pt idx="301">
                  <c:v>Laura Haney</c:v>
                </c:pt>
                <c:pt idx="302">
                  <c:v>Laura Mckinney</c:v>
                </c:pt>
                <c:pt idx="303">
                  <c:v>Laura Roberts</c:v>
                </c:pt>
                <c:pt idx="304">
                  <c:v>Lauren Carson</c:v>
                </c:pt>
                <c:pt idx="305">
                  <c:v>Lauren Daniels</c:v>
                </c:pt>
                <c:pt idx="306">
                  <c:v>Laurie Hoffman</c:v>
                </c:pt>
                <c:pt idx="307">
                  <c:v>Lawrence Adkins</c:v>
                </c:pt>
                <c:pt idx="308">
                  <c:v>Lawrence Harrington</c:v>
                </c:pt>
                <c:pt idx="309">
                  <c:v>Linda Smith</c:v>
                </c:pt>
                <c:pt idx="310">
                  <c:v>Lindsay Martinez</c:v>
                </c:pt>
                <c:pt idx="311">
                  <c:v>Lindsey Walker</c:v>
                </c:pt>
                <c:pt idx="312">
                  <c:v>Lisa Allen</c:v>
                </c:pt>
                <c:pt idx="313">
                  <c:v>Lisa Archer</c:v>
                </c:pt>
                <c:pt idx="314">
                  <c:v>Lisa Barnes</c:v>
                </c:pt>
                <c:pt idx="315">
                  <c:v>Lisa Hensley</c:v>
                </c:pt>
                <c:pt idx="316">
                  <c:v>Lisa Hunter</c:v>
                </c:pt>
                <c:pt idx="317">
                  <c:v>Lisa Jackson</c:v>
                </c:pt>
                <c:pt idx="318">
                  <c:v>Lori Guerrero</c:v>
                </c:pt>
                <c:pt idx="319">
                  <c:v>Lori Hernandez</c:v>
                </c:pt>
                <c:pt idx="320">
                  <c:v>Lori Ingram</c:v>
                </c:pt>
                <c:pt idx="321">
                  <c:v>Madison Poole</c:v>
                </c:pt>
                <c:pt idx="322">
                  <c:v>Madison Weber</c:v>
                </c:pt>
                <c:pt idx="323">
                  <c:v>Marc Moore</c:v>
                </c:pt>
                <c:pt idx="324">
                  <c:v>Margaret Coleman</c:v>
                </c:pt>
                <c:pt idx="325">
                  <c:v>Margaret Hawkins DDS</c:v>
                </c:pt>
                <c:pt idx="326">
                  <c:v>Maria Henderson</c:v>
                </c:pt>
                <c:pt idx="327">
                  <c:v>Maria Jones</c:v>
                </c:pt>
                <c:pt idx="328">
                  <c:v>Maria Parker</c:v>
                </c:pt>
                <c:pt idx="329">
                  <c:v>Marie Christian</c:v>
                </c:pt>
                <c:pt idx="330">
                  <c:v>Marie Moody</c:v>
                </c:pt>
                <c:pt idx="331">
                  <c:v>Mark Brown</c:v>
                </c:pt>
                <c:pt idx="332">
                  <c:v>Mark Cox</c:v>
                </c:pt>
                <c:pt idx="333">
                  <c:v>Mark Perez</c:v>
                </c:pt>
                <c:pt idx="334">
                  <c:v>Mary Escobar</c:v>
                </c:pt>
                <c:pt idx="335">
                  <c:v>Mary Marshall</c:v>
                </c:pt>
                <c:pt idx="336">
                  <c:v>Mary Thompson</c:v>
                </c:pt>
                <c:pt idx="337">
                  <c:v>Matthew Foster</c:v>
                </c:pt>
                <c:pt idx="338">
                  <c:v>Matthew Harrington</c:v>
                </c:pt>
                <c:pt idx="339">
                  <c:v>Matthew Mcmillan</c:v>
                </c:pt>
                <c:pt idx="340">
                  <c:v>Matthew Moon</c:v>
                </c:pt>
                <c:pt idx="341">
                  <c:v>Matthew Moore</c:v>
                </c:pt>
                <c:pt idx="342">
                  <c:v>Megan Le</c:v>
                </c:pt>
                <c:pt idx="343">
                  <c:v>Megan Nelson</c:v>
                </c:pt>
                <c:pt idx="344">
                  <c:v>Megan Orr</c:v>
                </c:pt>
                <c:pt idx="345">
                  <c:v>Megan Young</c:v>
                </c:pt>
                <c:pt idx="346">
                  <c:v>Meghan Cisneros</c:v>
                </c:pt>
                <c:pt idx="347">
                  <c:v>Meghan Rush</c:v>
                </c:pt>
                <c:pt idx="348">
                  <c:v>Melissa Brewer</c:v>
                </c:pt>
                <c:pt idx="349">
                  <c:v>Melissa Gates</c:v>
                </c:pt>
                <c:pt idx="350">
                  <c:v>Melissa Martinez</c:v>
                </c:pt>
                <c:pt idx="351">
                  <c:v>Michael Bradshaw</c:v>
                </c:pt>
                <c:pt idx="352">
                  <c:v>Michael Elliott</c:v>
                </c:pt>
                <c:pt idx="353">
                  <c:v>Michael Evans</c:v>
                </c:pt>
                <c:pt idx="354">
                  <c:v>Michael Farrell</c:v>
                </c:pt>
                <c:pt idx="355">
                  <c:v>Michael Lewis</c:v>
                </c:pt>
                <c:pt idx="356">
                  <c:v>Michael Lyons</c:v>
                </c:pt>
                <c:pt idx="357">
                  <c:v>Michael Mitchell</c:v>
                </c:pt>
                <c:pt idx="358">
                  <c:v>Michael Powell</c:v>
                </c:pt>
                <c:pt idx="359">
                  <c:v>Michael Wang</c:v>
                </c:pt>
                <c:pt idx="360">
                  <c:v>Michael Warner</c:v>
                </c:pt>
                <c:pt idx="361">
                  <c:v>Michele Williams</c:v>
                </c:pt>
                <c:pt idx="362">
                  <c:v>Michelle Brown</c:v>
                </c:pt>
                <c:pt idx="363">
                  <c:v>Michelle Evans</c:v>
                </c:pt>
                <c:pt idx="364">
                  <c:v>Michelle Harmon</c:v>
                </c:pt>
                <c:pt idx="365">
                  <c:v>Mike Allen</c:v>
                </c:pt>
                <c:pt idx="366">
                  <c:v>Monica Herrera</c:v>
                </c:pt>
                <c:pt idx="367">
                  <c:v>Monica Miller</c:v>
                </c:pt>
                <c:pt idx="368">
                  <c:v>Mr. Andrew Foster</c:v>
                </c:pt>
                <c:pt idx="369">
                  <c:v>Mr. Justin Green III</c:v>
                </c:pt>
                <c:pt idx="370">
                  <c:v>Mrs. Diane Reyes</c:v>
                </c:pt>
                <c:pt idx="371">
                  <c:v>Mrs. Kristen Reyes</c:v>
                </c:pt>
                <c:pt idx="372">
                  <c:v>Nancy Jennings</c:v>
                </c:pt>
                <c:pt idx="373">
                  <c:v>Natalie Bautista</c:v>
                </c:pt>
                <c:pt idx="374">
                  <c:v>Nathan Freeman</c:v>
                </c:pt>
                <c:pt idx="375">
                  <c:v>Nathan Maldonado</c:v>
                </c:pt>
                <c:pt idx="376">
                  <c:v>Nathan Malone</c:v>
                </c:pt>
                <c:pt idx="377">
                  <c:v>Nichole Alvarez</c:v>
                </c:pt>
                <c:pt idx="378">
                  <c:v>Nicole Herring</c:v>
                </c:pt>
                <c:pt idx="379">
                  <c:v>Nicole Parrish</c:v>
                </c:pt>
                <c:pt idx="380">
                  <c:v>Noah Rhodes</c:v>
                </c:pt>
                <c:pt idx="381">
                  <c:v>Olivia Harris</c:v>
                </c:pt>
                <c:pt idx="382">
                  <c:v>Pamela Boyd</c:v>
                </c:pt>
                <c:pt idx="383">
                  <c:v>Parker Cain</c:v>
                </c:pt>
                <c:pt idx="384">
                  <c:v>Patricia Le</c:v>
                </c:pt>
                <c:pt idx="385">
                  <c:v>Patricia Rodriguez</c:v>
                </c:pt>
                <c:pt idx="386">
                  <c:v>Patrick Moore</c:v>
                </c:pt>
                <c:pt idx="387">
                  <c:v>Patrick Thornton</c:v>
                </c:pt>
                <c:pt idx="388">
                  <c:v>Patty Perez</c:v>
                </c:pt>
                <c:pt idx="389">
                  <c:v>Paul Castaneda</c:v>
                </c:pt>
                <c:pt idx="390">
                  <c:v>Paul Jones</c:v>
                </c:pt>
                <c:pt idx="391">
                  <c:v>Paul Lewis</c:v>
                </c:pt>
                <c:pt idx="392">
                  <c:v>Paul Wilson</c:v>
                </c:pt>
                <c:pt idx="393">
                  <c:v>Paula Bradley</c:v>
                </c:pt>
                <c:pt idx="394">
                  <c:v>Paula Moreno</c:v>
                </c:pt>
                <c:pt idx="395">
                  <c:v>Philip Cannon</c:v>
                </c:pt>
                <c:pt idx="396">
                  <c:v>Phillip Berry</c:v>
                </c:pt>
                <c:pt idx="397">
                  <c:v>Phillip Nelson</c:v>
                </c:pt>
                <c:pt idx="398">
                  <c:v>Ralph Anderson</c:v>
                </c:pt>
                <c:pt idx="399">
                  <c:v>Rebecca Henderson</c:v>
                </c:pt>
                <c:pt idx="400">
                  <c:v>Rebecca Jackson</c:v>
                </c:pt>
                <c:pt idx="401">
                  <c:v>Rebecca Valencia</c:v>
                </c:pt>
                <c:pt idx="402">
                  <c:v>Renee Bruce</c:v>
                </c:pt>
                <c:pt idx="403">
                  <c:v>Rhonda Martin</c:v>
                </c:pt>
                <c:pt idx="404">
                  <c:v>Richard Aguirre</c:v>
                </c:pt>
                <c:pt idx="405">
                  <c:v>Richard Cooper</c:v>
                </c:pt>
                <c:pt idx="406">
                  <c:v>Richard Henson</c:v>
                </c:pt>
                <c:pt idx="407">
                  <c:v>Richard Rodriguez</c:v>
                </c:pt>
                <c:pt idx="408">
                  <c:v>Richard Smith</c:v>
                </c:pt>
                <c:pt idx="409">
                  <c:v>Ricky Davis II</c:v>
                </c:pt>
                <c:pt idx="410">
                  <c:v>Riley Bryant</c:v>
                </c:pt>
                <c:pt idx="411">
                  <c:v>Robert Harrison</c:v>
                </c:pt>
                <c:pt idx="412">
                  <c:v>Robert Montgomery</c:v>
                </c:pt>
                <c:pt idx="413">
                  <c:v>Robert Oconnell</c:v>
                </c:pt>
                <c:pt idx="414">
                  <c:v>Robert Potter</c:v>
                </c:pt>
                <c:pt idx="415">
                  <c:v>Robin Brown</c:v>
                </c:pt>
                <c:pt idx="416">
                  <c:v>Robin Santiago</c:v>
                </c:pt>
                <c:pt idx="417">
                  <c:v>Robin Thompson</c:v>
                </c:pt>
                <c:pt idx="418">
                  <c:v>Robin Young</c:v>
                </c:pt>
                <c:pt idx="419">
                  <c:v>Rodney Morales</c:v>
                </c:pt>
                <c:pt idx="420">
                  <c:v>Ronald Davis</c:v>
                </c:pt>
                <c:pt idx="421">
                  <c:v>Ruben Dunn</c:v>
                </c:pt>
                <c:pt idx="422">
                  <c:v>Ryan Gonzalez</c:v>
                </c:pt>
                <c:pt idx="423">
                  <c:v>Ryan Munoz</c:v>
                </c:pt>
                <c:pt idx="424">
                  <c:v>Ryan Rosales</c:v>
                </c:pt>
                <c:pt idx="425">
                  <c:v>Sabrina Austin</c:v>
                </c:pt>
                <c:pt idx="426">
                  <c:v>Samantha Garcia</c:v>
                </c:pt>
                <c:pt idx="427">
                  <c:v>Samantha Gardner</c:v>
                </c:pt>
                <c:pt idx="428">
                  <c:v>Sandra Aguilar</c:v>
                </c:pt>
                <c:pt idx="429">
                  <c:v>Sandra Drake</c:v>
                </c:pt>
                <c:pt idx="430">
                  <c:v>Sara Fuller</c:v>
                </c:pt>
                <c:pt idx="431">
                  <c:v>Sara Johnston</c:v>
                </c:pt>
                <c:pt idx="432">
                  <c:v>Sarah Moore</c:v>
                </c:pt>
                <c:pt idx="433">
                  <c:v>Scott Thomas</c:v>
                </c:pt>
                <c:pt idx="434">
                  <c:v>Scott Williams</c:v>
                </c:pt>
                <c:pt idx="435">
                  <c:v>Sergio Knight</c:v>
                </c:pt>
                <c:pt idx="436">
                  <c:v>Shane Henderson</c:v>
                </c:pt>
                <c:pt idx="437">
                  <c:v>Shannon James</c:v>
                </c:pt>
                <c:pt idx="438">
                  <c:v>Shannon Jones</c:v>
                </c:pt>
                <c:pt idx="439">
                  <c:v>Shannon Ramsey</c:v>
                </c:pt>
                <c:pt idx="440">
                  <c:v>Shannon Rivera</c:v>
                </c:pt>
                <c:pt idx="441">
                  <c:v>Shannon Walker</c:v>
                </c:pt>
                <c:pt idx="442">
                  <c:v>Sharon Boyd</c:v>
                </c:pt>
                <c:pt idx="443">
                  <c:v>Sharon Cherry</c:v>
                </c:pt>
                <c:pt idx="444">
                  <c:v>Sharon Cochran</c:v>
                </c:pt>
                <c:pt idx="445">
                  <c:v>Shelia Wallace</c:v>
                </c:pt>
                <c:pt idx="446">
                  <c:v>Shelly Alexander</c:v>
                </c:pt>
                <c:pt idx="447">
                  <c:v>Shelly Spencer</c:v>
                </c:pt>
                <c:pt idx="448">
                  <c:v>Sherri Baker</c:v>
                </c:pt>
                <c:pt idx="449">
                  <c:v>Sherry Decker</c:v>
                </c:pt>
                <c:pt idx="450">
                  <c:v>Shirley Suarez</c:v>
                </c:pt>
                <c:pt idx="451">
                  <c:v>Sierra Johnson</c:v>
                </c:pt>
                <c:pt idx="452">
                  <c:v>Sophia Johnson</c:v>
                </c:pt>
                <c:pt idx="453">
                  <c:v>Spencer Haynes</c:v>
                </c:pt>
                <c:pt idx="454">
                  <c:v>Stephanie Byrd</c:v>
                </c:pt>
                <c:pt idx="455">
                  <c:v>Stephanie Manning</c:v>
                </c:pt>
                <c:pt idx="456">
                  <c:v>Stephanie Ross</c:v>
                </c:pt>
                <c:pt idx="457">
                  <c:v>Stephanie Salazar</c:v>
                </c:pt>
                <c:pt idx="458">
                  <c:v>Stephanie Williams</c:v>
                </c:pt>
                <c:pt idx="459">
                  <c:v>Stephen Hoffman</c:v>
                </c:pt>
                <c:pt idx="460">
                  <c:v>Stephen Mckee</c:v>
                </c:pt>
                <c:pt idx="461">
                  <c:v>Steve Paul</c:v>
                </c:pt>
                <c:pt idx="462">
                  <c:v>Steve Sanchez</c:v>
                </c:pt>
                <c:pt idx="463">
                  <c:v>Susan Murray MD</c:v>
                </c:pt>
                <c:pt idx="464">
                  <c:v>Susan Serrano</c:v>
                </c:pt>
                <c:pt idx="465">
                  <c:v>Susan Turner</c:v>
                </c:pt>
                <c:pt idx="466">
                  <c:v>Tamara Davis</c:v>
                </c:pt>
                <c:pt idx="467">
                  <c:v>Tammie Bright</c:v>
                </c:pt>
                <c:pt idx="468">
                  <c:v>Tanner Mitchell DDS</c:v>
                </c:pt>
                <c:pt idx="469">
                  <c:v>Tanya Kim</c:v>
                </c:pt>
                <c:pt idx="470">
                  <c:v>Taylor Carlson</c:v>
                </c:pt>
                <c:pt idx="471">
                  <c:v>Theodore Jones Jr.</c:v>
                </c:pt>
                <c:pt idx="472">
                  <c:v>Theresa Clark</c:v>
                </c:pt>
                <c:pt idx="473">
                  <c:v>Theresa Williams</c:v>
                </c:pt>
                <c:pt idx="474">
                  <c:v>Thomas Atkins</c:v>
                </c:pt>
                <c:pt idx="475">
                  <c:v>TImothy Duncan</c:v>
                </c:pt>
                <c:pt idx="476">
                  <c:v>TImothy Romero</c:v>
                </c:pt>
                <c:pt idx="477">
                  <c:v>Tina Sanders</c:v>
                </c:pt>
                <c:pt idx="478">
                  <c:v>Tommy Walter</c:v>
                </c:pt>
                <c:pt idx="479">
                  <c:v>Tracy Ballard</c:v>
                </c:pt>
                <c:pt idx="480">
                  <c:v>Tracy Burke</c:v>
                </c:pt>
                <c:pt idx="481">
                  <c:v>Tracy House</c:v>
                </c:pt>
                <c:pt idx="482">
                  <c:v>Tracy Montoya</c:v>
                </c:pt>
                <c:pt idx="483">
                  <c:v>Travis Tucker</c:v>
                </c:pt>
                <c:pt idx="484">
                  <c:v>Trevor Johnson</c:v>
                </c:pt>
                <c:pt idx="485">
                  <c:v>Tricia Valencia</c:v>
                </c:pt>
                <c:pt idx="486">
                  <c:v>unknown</c:v>
                </c:pt>
                <c:pt idx="487">
                  <c:v>Vanessa Howard</c:v>
                </c:pt>
                <c:pt idx="488">
                  <c:v>Veronica King</c:v>
                </c:pt>
                <c:pt idx="489">
                  <c:v>Veronica Simpson</c:v>
                </c:pt>
                <c:pt idx="490">
                  <c:v>Victor Baker</c:v>
                </c:pt>
                <c:pt idx="491">
                  <c:v>Victor Brown</c:v>
                </c:pt>
                <c:pt idx="492">
                  <c:v>Victor Taylor</c:v>
                </c:pt>
                <c:pt idx="493">
                  <c:v>Victoria Garcia</c:v>
                </c:pt>
                <c:pt idx="494">
                  <c:v>Victoria Larson</c:v>
                </c:pt>
                <c:pt idx="495">
                  <c:v>Wayne Morgan</c:v>
                </c:pt>
                <c:pt idx="496">
                  <c:v>Whitney Peters</c:v>
                </c:pt>
                <c:pt idx="497">
                  <c:v>William Baker</c:v>
                </c:pt>
                <c:pt idx="498">
                  <c:v>William Barrett</c:v>
                </c:pt>
                <c:pt idx="499">
                  <c:v>William Gould</c:v>
                </c:pt>
                <c:pt idx="500">
                  <c:v>William Herrera</c:v>
                </c:pt>
                <c:pt idx="501">
                  <c:v>William Jones</c:v>
                </c:pt>
                <c:pt idx="502">
                  <c:v>Yvonne Burns</c:v>
                </c:pt>
                <c:pt idx="503">
                  <c:v>Yvonne Chambers</c:v>
                </c:pt>
                <c:pt idx="504">
                  <c:v>Zachary Ferrell</c:v>
                </c:pt>
                <c:pt idx="505">
                  <c:v>Zachary Hicks</c:v>
                </c:pt>
                <c:pt idx="506">
                  <c:v>Zachary Mitchell</c:v>
                </c:pt>
                <c:pt idx="507">
                  <c:v>(blank)</c:v>
                </c:pt>
              </c:strCache>
            </c:strRef>
          </c:cat>
          <c:val>
            <c:numRef>
              <c:f>Sheet3!$B$64:$B$572</c:f>
              <c:numCache>
                <c:formatCode>General</c:formatCode>
                <c:ptCount val="508"/>
                <c:pt idx="0">
                  <c:v>9132710.6520000007</c:v>
                </c:pt>
                <c:pt idx="1">
                  <c:v>3830609.4840000002</c:v>
                </c:pt>
                <c:pt idx="2">
                  <c:v>11833814.304</c:v>
                </c:pt>
                <c:pt idx="3">
                  <c:v>85725.759999999995</c:v>
                </c:pt>
                <c:pt idx="4">
                  <c:v>5260349.9519999996</c:v>
                </c:pt>
                <c:pt idx="5">
                  <c:v>12974873.184</c:v>
                </c:pt>
                <c:pt idx="6">
                  <c:v>12134931.588</c:v>
                </c:pt>
                <c:pt idx="7">
                  <c:v>8875110.9000000004</c:v>
                </c:pt>
                <c:pt idx="8">
                  <c:v>7286933.1600000001</c:v>
                </c:pt>
                <c:pt idx="9">
                  <c:v>3335558.6159999995</c:v>
                </c:pt>
                <c:pt idx="10">
                  <c:v>16327137.84</c:v>
                </c:pt>
                <c:pt idx="11">
                  <c:v>13221824.16</c:v>
                </c:pt>
                <c:pt idx="12">
                  <c:v>4531349.1599999992</c:v>
                </c:pt>
                <c:pt idx="13">
                  <c:v>12542069.592</c:v>
                </c:pt>
                <c:pt idx="14">
                  <c:v>1131698.412</c:v>
                </c:pt>
                <c:pt idx="15">
                  <c:v>5641719.4079999998</c:v>
                </c:pt>
                <c:pt idx="16">
                  <c:v>1557037</c:v>
                </c:pt>
                <c:pt idx="17">
                  <c:v>474977.41199999995</c:v>
                </c:pt>
                <c:pt idx="18">
                  <c:v>17520575.550000001</c:v>
                </c:pt>
                <c:pt idx="19">
                  <c:v>16392655.949999999</c:v>
                </c:pt>
                <c:pt idx="20">
                  <c:v>9012419.675999999</c:v>
                </c:pt>
                <c:pt idx="21">
                  <c:v>6748612.8839999996</c:v>
                </c:pt>
                <c:pt idx="22">
                  <c:v>7286933.1600000001</c:v>
                </c:pt>
                <c:pt idx="23">
                  <c:v>5807735.3880000003</c:v>
                </c:pt>
                <c:pt idx="24">
                  <c:v>3414147.87</c:v>
                </c:pt>
                <c:pt idx="25">
                  <c:v>3077635.392</c:v>
                </c:pt>
                <c:pt idx="26">
                  <c:v>548548.41599999997</c:v>
                </c:pt>
                <c:pt idx="27">
                  <c:v>21985540.600000001</c:v>
                </c:pt>
                <c:pt idx="28">
                  <c:v>26075188.41</c:v>
                </c:pt>
                <c:pt idx="29">
                  <c:v>6546655.4399999995</c:v>
                </c:pt>
                <c:pt idx="30">
                  <c:v>7286933.1600000001</c:v>
                </c:pt>
                <c:pt idx="31">
                  <c:v>8594243.4239999987</c:v>
                </c:pt>
                <c:pt idx="32">
                  <c:v>13078023.192</c:v>
                </c:pt>
                <c:pt idx="33">
                  <c:v>3823758.9</c:v>
                </c:pt>
                <c:pt idx="34">
                  <c:v>12678822</c:v>
                </c:pt>
                <c:pt idx="35">
                  <c:v>6327881.8199999994</c:v>
                </c:pt>
                <c:pt idx="36">
                  <c:v>1507949.4</c:v>
                </c:pt>
                <c:pt idx="37">
                  <c:v>7286933.1600000001</c:v>
                </c:pt>
                <c:pt idx="38">
                  <c:v>13861863.359999999</c:v>
                </c:pt>
                <c:pt idx="39">
                  <c:v>2603124.1079999995</c:v>
                </c:pt>
                <c:pt idx="40">
                  <c:v>7006666.5000000009</c:v>
                </c:pt>
                <c:pt idx="41">
                  <c:v>1175180.82</c:v>
                </c:pt>
                <c:pt idx="42">
                  <c:v>3181964.2919999999</c:v>
                </c:pt>
                <c:pt idx="43">
                  <c:v>1788402.03</c:v>
                </c:pt>
                <c:pt idx="44">
                  <c:v>3005590.86</c:v>
                </c:pt>
                <c:pt idx="45">
                  <c:v>2946414.5</c:v>
                </c:pt>
                <c:pt idx="46">
                  <c:v>10618702.847999999</c:v>
                </c:pt>
                <c:pt idx="47">
                  <c:v>10146086.495999999</c:v>
                </c:pt>
                <c:pt idx="48">
                  <c:v>9513128.1959999986</c:v>
                </c:pt>
                <c:pt idx="49">
                  <c:v>6216502.5</c:v>
                </c:pt>
                <c:pt idx="50">
                  <c:v>6310365.5159999998</c:v>
                </c:pt>
                <c:pt idx="51">
                  <c:v>6267552.8760000002</c:v>
                </c:pt>
                <c:pt idx="52">
                  <c:v>2044475.3160000001</c:v>
                </c:pt>
                <c:pt idx="53">
                  <c:v>16863342.27</c:v>
                </c:pt>
                <c:pt idx="54">
                  <c:v>3277269.6839999999</c:v>
                </c:pt>
                <c:pt idx="55">
                  <c:v>3736888.8000000003</c:v>
                </c:pt>
                <c:pt idx="56">
                  <c:v>9110156.3279999997</c:v>
                </c:pt>
                <c:pt idx="57">
                  <c:v>13923307.476</c:v>
                </c:pt>
                <c:pt idx="58">
                  <c:v>4718153.5</c:v>
                </c:pt>
                <c:pt idx="59">
                  <c:v>7680293.243999999</c:v>
                </c:pt>
                <c:pt idx="60">
                  <c:v>1444865.5</c:v>
                </c:pt>
                <c:pt idx="61">
                  <c:v>11103495.624</c:v>
                </c:pt>
                <c:pt idx="62">
                  <c:v>7426591.3799999999</c:v>
                </c:pt>
                <c:pt idx="63">
                  <c:v>933143.96</c:v>
                </c:pt>
                <c:pt idx="64">
                  <c:v>10498544.784</c:v>
                </c:pt>
                <c:pt idx="65">
                  <c:v>5392609.04</c:v>
                </c:pt>
                <c:pt idx="66">
                  <c:v>3228337.28</c:v>
                </c:pt>
                <c:pt idx="67">
                  <c:v>6205261.1399999987</c:v>
                </c:pt>
                <c:pt idx="68">
                  <c:v>2302477.52</c:v>
                </c:pt>
                <c:pt idx="69">
                  <c:v>6877560.4560000002</c:v>
                </c:pt>
                <c:pt idx="70">
                  <c:v>896761.32</c:v>
                </c:pt>
                <c:pt idx="71">
                  <c:v>8374692.9239999987</c:v>
                </c:pt>
                <c:pt idx="72">
                  <c:v>5880726.54</c:v>
                </c:pt>
                <c:pt idx="73">
                  <c:v>7286933.1600000001</c:v>
                </c:pt>
                <c:pt idx="74">
                  <c:v>12621059.1</c:v>
                </c:pt>
                <c:pt idx="75">
                  <c:v>18668695.27</c:v>
                </c:pt>
                <c:pt idx="76">
                  <c:v>4207343.3999999994</c:v>
                </c:pt>
                <c:pt idx="77">
                  <c:v>966589.88399999996</c:v>
                </c:pt>
                <c:pt idx="78">
                  <c:v>703406.80799999996</c:v>
                </c:pt>
                <c:pt idx="79">
                  <c:v>9842321.2679999992</c:v>
                </c:pt>
                <c:pt idx="80">
                  <c:v>11059659.935999999</c:v>
                </c:pt>
                <c:pt idx="81">
                  <c:v>3114074</c:v>
                </c:pt>
                <c:pt idx="82">
                  <c:v>14017820.67</c:v>
                </c:pt>
                <c:pt idx="83">
                  <c:v>5467714.6679999996</c:v>
                </c:pt>
                <c:pt idx="84">
                  <c:v>5064394.608</c:v>
                </c:pt>
                <c:pt idx="85">
                  <c:v>5365891.9079999998</c:v>
                </c:pt>
                <c:pt idx="86">
                  <c:v>4205844.3959999997</c:v>
                </c:pt>
                <c:pt idx="87">
                  <c:v>2181950</c:v>
                </c:pt>
                <c:pt idx="88">
                  <c:v>3022767.54</c:v>
                </c:pt>
                <c:pt idx="89">
                  <c:v>3186549.2880000002</c:v>
                </c:pt>
                <c:pt idx="90">
                  <c:v>13413650.328</c:v>
                </c:pt>
                <c:pt idx="91">
                  <c:v>905482.2</c:v>
                </c:pt>
                <c:pt idx="92">
                  <c:v>1670342.04</c:v>
                </c:pt>
                <c:pt idx="93">
                  <c:v>4719551.148</c:v>
                </c:pt>
                <c:pt idx="94">
                  <c:v>5094393.8760000002</c:v>
                </c:pt>
                <c:pt idx="95">
                  <c:v>8719407.2000000011</c:v>
                </c:pt>
                <c:pt idx="96">
                  <c:v>1443200.55</c:v>
                </c:pt>
                <c:pt idx="97">
                  <c:v>4850924.8320000004</c:v>
                </c:pt>
                <c:pt idx="98">
                  <c:v>6665108.4000000004</c:v>
                </c:pt>
                <c:pt idx="99">
                  <c:v>3728858.7959999996</c:v>
                </c:pt>
                <c:pt idx="100">
                  <c:v>4080742.8479999998</c:v>
                </c:pt>
                <c:pt idx="101">
                  <c:v>6456987.5760000004</c:v>
                </c:pt>
                <c:pt idx="102">
                  <c:v>9558826.0559999999</c:v>
                </c:pt>
                <c:pt idx="103">
                  <c:v>9887842.6919999998</c:v>
                </c:pt>
                <c:pt idx="104">
                  <c:v>10165222.08</c:v>
                </c:pt>
                <c:pt idx="105">
                  <c:v>5531287.3199999994</c:v>
                </c:pt>
                <c:pt idx="106">
                  <c:v>9174737.0519999992</c:v>
                </c:pt>
                <c:pt idx="107">
                  <c:v>6728534.7479999987</c:v>
                </c:pt>
                <c:pt idx="108">
                  <c:v>3823230.9959999998</c:v>
                </c:pt>
                <c:pt idx="109">
                  <c:v>12878235.395999998</c:v>
                </c:pt>
                <c:pt idx="110">
                  <c:v>7286933.1600000001</c:v>
                </c:pt>
                <c:pt idx="111">
                  <c:v>10622464.163999999</c:v>
                </c:pt>
                <c:pt idx="112">
                  <c:v>3432347.5679999995</c:v>
                </c:pt>
                <c:pt idx="113">
                  <c:v>3467699.352</c:v>
                </c:pt>
                <c:pt idx="114">
                  <c:v>816885.02</c:v>
                </c:pt>
                <c:pt idx="115">
                  <c:v>3283350.4</c:v>
                </c:pt>
                <c:pt idx="116">
                  <c:v>7452083.3399999989</c:v>
                </c:pt>
                <c:pt idx="117">
                  <c:v>11067929.027999999</c:v>
                </c:pt>
                <c:pt idx="118">
                  <c:v>6715683</c:v>
                </c:pt>
                <c:pt idx="119">
                  <c:v>6400653.9479999989</c:v>
                </c:pt>
                <c:pt idx="120">
                  <c:v>4488107.8320000004</c:v>
                </c:pt>
                <c:pt idx="121">
                  <c:v>14013689.039999999</c:v>
                </c:pt>
                <c:pt idx="122">
                  <c:v>119135.01599999999</c:v>
                </c:pt>
                <c:pt idx="123">
                  <c:v>7286933.1600000001</c:v>
                </c:pt>
                <c:pt idx="124">
                  <c:v>1047025.512</c:v>
                </c:pt>
                <c:pt idx="125">
                  <c:v>8472367.7999999989</c:v>
                </c:pt>
                <c:pt idx="126">
                  <c:v>9559480.7879999988</c:v>
                </c:pt>
                <c:pt idx="127">
                  <c:v>12248852.615999999</c:v>
                </c:pt>
                <c:pt idx="128">
                  <c:v>4374205.88</c:v>
                </c:pt>
                <c:pt idx="129">
                  <c:v>3847648.4279999998</c:v>
                </c:pt>
                <c:pt idx="130">
                  <c:v>9616763.9879999999</c:v>
                </c:pt>
                <c:pt idx="131">
                  <c:v>7329567.4919999996</c:v>
                </c:pt>
                <c:pt idx="132">
                  <c:v>1554385.2479999999</c:v>
                </c:pt>
                <c:pt idx="133">
                  <c:v>4331882.75</c:v>
                </c:pt>
                <c:pt idx="134">
                  <c:v>16028191.4</c:v>
                </c:pt>
                <c:pt idx="135">
                  <c:v>8975961.0720000006</c:v>
                </c:pt>
                <c:pt idx="136">
                  <c:v>3990927.5639999998</c:v>
                </c:pt>
                <c:pt idx="137">
                  <c:v>7286933.1600000001</c:v>
                </c:pt>
                <c:pt idx="138">
                  <c:v>5449629.5</c:v>
                </c:pt>
                <c:pt idx="139">
                  <c:v>4658466.852</c:v>
                </c:pt>
                <c:pt idx="140">
                  <c:v>12880052.171999998</c:v>
                </c:pt>
                <c:pt idx="141">
                  <c:v>7134012.2699999996</c:v>
                </c:pt>
                <c:pt idx="142">
                  <c:v>12081692.843999999</c:v>
                </c:pt>
                <c:pt idx="143">
                  <c:v>10271205.828</c:v>
                </c:pt>
                <c:pt idx="144">
                  <c:v>6691091.4720000001</c:v>
                </c:pt>
                <c:pt idx="145">
                  <c:v>13939736.147999998</c:v>
                </c:pt>
                <c:pt idx="146">
                  <c:v>6809958.7919999994</c:v>
                </c:pt>
                <c:pt idx="147">
                  <c:v>4047435.7559999996</c:v>
                </c:pt>
                <c:pt idx="148">
                  <c:v>2870556.6239999998</c:v>
                </c:pt>
                <c:pt idx="149">
                  <c:v>9639819.5399999991</c:v>
                </c:pt>
                <c:pt idx="150">
                  <c:v>5820107.9039999992</c:v>
                </c:pt>
                <c:pt idx="151">
                  <c:v>7389216.4319999991</c:v>
                </c:pt>
                <c:pt idx="152">
                  <c:v>1153375.236</c:v>
                </c:pt>
                <c:pt idx="153">
                  <c:v>15691749.92</c:v>
                </c:pt>
                <c:pt idx="154">
                  <c:v>4666252.9679999994</c:v>
                </c:pt>
                <c:pt idx="155">
                  <c:v>3343989.1679999996</c:v>
                </c:pt>
                <c:pt idx="156">
                  <c:v>3396723.4079999998</c:v>
                </c:pt>
                <c:pt idx="157">
                  <c:v>230559.64</c:v>
                </c:pt>
                <c:pt idx="158">
                  <c:v>11763772.488</c:v>
                </c:pt>
                <c:pt idx="159">
                  <c:v>10072152.323999999</c:v>
                </c:pt>
                <c:pt idx="160">
                  <c:v>11264643</c:v>
                </c:pt>
                <c:pt idx="161">
                  <c:v>19089619.920000002</c:v>
                </c:pt>
                <c:pt idx="162">
                  <c:v>13113554.687999997</c:v>
                </c:pt>
                <c:pt idx="163">
                  <c:v>7293575.0159999989</c:v>
                </c:pt>
                <c:pt idx="164">
                  <c:v>7286933.1600000001</c:v>
                </c:pt>
                <c:pt idx="165">
                  <c:v>1065259.7279999999</c:v>
                </c:pt>
                <c:pt idx="166">
                  <c:v>11942178.767999999</c:v>
                </c:pt>
                <c:pt idx="167">
                  <c:v>10702081.727999998</c:v>
                </c:pt>
                <c:pt idx="168">
                  <c:v>717097.72</c:v>
                </c:pt>
                <c:pt idx="169">
                  <c:v>291699.65999999997</c:v>
                </c:pt>
                <c:pt idx="170">
                  <c:v>7634843.892</c:v>
                </c:pt>
                <c:pt idx="171">
                  <c:v>827358.27</c:v>
                </c:pt>
                <c:pt idx="172">
                  <c:v>7286933.1600000001</c:v>
                </c:pt>
                <c:pt idx="173">
                  <c:v>1921652.4599999997</c:v>
                </c:pt>
                <c:pt idx="174">
                  <c:v>5811696.54</c:v>
                </c:pt>
                <c:pt idx="175">
                  <c:v>7134231.311999999</c:v>
                </c:pt>
                <c:pt idx="176">
                  <c:v>12367082.987999998</c:v>
                </c:pt>
                <c:pt idx="177">
                  <c:v>13247565.083999999</c:v>
                </c:pt>
                <c:pt idx="178">
                  <c:v>1397378.8</c:v>
                </c:pt>
                <c:pt idx="179">
                  <c:v>11287875.923999999</c:v>
                </c:pt>
                <c:pt idx="180">
                  <c:v>8345400.8039999995</c:v>
                </c:pt>
                <c:pt idx="181">
                  <c:v>6555192.6959999995</c:v>
                </c:pt>
                <c:pt idx="182">
                  <c:v>688377.97</c:v>
                </c:pt>
                <c:pt idx="183">
                  <c:v>11488921.704</c:v>
                </c:pt>
                <c:pt idx="184">
                  <c:v>5957289.2599999998</c:v>
                </c:pt>
                <c:pt idx="185">
                  <c:v>11529660.635999998</c:v>
                </c:pt>
                <c:pt idx="186">
                  <c:v>9344432.6999999993</c:v>
                </c:pt>
                <c:pt idx="187">
                  <c:v>11526693.983999999</c:v>
                </c:pt>
                <c:pt idx="188">
                  <c:v>1773892.88</c:v>
                </c:pt>
                <c:pt idx="189">
                  <c:v>5582832.8399999999</c:v>
                </c:pt>
                <c:pt idx="190">
                  <c:v>12767703.4</c:v>
                </c:pt>
                <c:pt idx="191">
                  <c:v>5385913.8300000001</c:v>
                </c:pt>
                <c:pt idx="192">
                  <c:v>5828548.6799999997</c:v>
                </c:pt>
                <c:pt idx="193">
                  <c:v>15105632.49</c:v>
                </c:pt>
                <c:pt idx="194">
                  <c:v>7483209.5520000001</c:v>
                </c:pt>
                <c:pt idx="195">
                  <c:v>1950563.6279999998</c:v>
                </c:pt>
                <c:pt idx="196">
                  <c:v>7600247.46</c:v>
                </c:pt>
                <c:pt idx="197">
                  <c:v>13219826.255999999</c:v>
                </c:pt>
                <c:pt idx="198">
                  <c:v>10131931.368000001</c:v>
                </c:pt>
                <c:pt idx="199">
                  <c:v>7286933.1600000001</c:v>
                </c:pt>
                <c:pt idx="200">
                  <c:v>577722.13199999998</c:v>
                </c:pt>
                <c:pt idx="201">
                  <c:v>6329990.0099999998</c:v>
                </c:pt>
                <c:pt idx="202">
                  <c:v>9476210.9519999996</c:v>
                </c:pt>
                <c:pt idx="203">
                  <c:v>13140489.959999999</c:v>
                </c:pt>
                <c:pt idx="204">
                  <c:v>7515162.1799999997</c:v>
                </c:pt>
                <c:pt idx="205">
                  <c:v>2537340.156</c:v>
                </c:pt>
                <c:pt idx="206">
                  <c:v>1364282.46</c:v>
                </c:pt>
                <c:pt idx="207">
                  <c:v>12939288.804000001</c:v>
                </c:pt>
                <c:pt idx="208">
                  <c:v>6058572.6239999989</c:v>
                </c:pt>
                <c:pt idx="209">
                  <c:v>4748566.68</c:v>
                </c:pt>
                <c:pt idx="210">
                  <c:v>28734589.800000001</c:v>
                </c:pt>
                <c:pt idx="211">
                  <c:v>4273065.108</c:v>
                </c:pt>
                <c:pt idx="212">
                  <c:v>4023952.4519999996</c:v>
                </c:pt>
                <c:pt idx="213">
                  <c:v>5769991.7300000004</c:v>
                </c:pt>
                <c:pt idx="214">
                  <c:v>3170553.62</c:v>
                </c:pt>
                <c:pt idx="215">
                  <c:v>9874899.216</c:v>
                </c:pt>
                <c:pt idx="216">
                  <c:v>57887.040000000001</c:v>
                </c:pt>
                <c:pt idx="217">
                  <c:v>6319490.4299999997</c:v>
                </c:pt>
                <c:pt idx="218">
                  <c:v>5687906.9699999997</c:v>
                </c:pt>
                <c:pt idx="219">
                  <c:v>10392112.223999999</c:v>
                </c:pt>
                <c:pt idx="220">
                  <c:v>12767703.4</c:v>
                </c:pt>
                <c:pt idx="221">
                  <c:v>7286933.1600000001</c:v>
                </c:pt>
                <c:pt idx="222">
                  <c:v>13194966.095999997</c:v>
                </c:pt>
                <c:pt idx="223">
                  <c:v>811185.1</c:v>
                </c:pt>
                <c:pt idx="224">
                  <c:v>3400954.5959999999</c:v>
                </c:pt>
                <c:pt idx="225">
                  <c:v>1985142.7439999999</c:v>
                </c:pt>
                <c:pt idx="226">
                  <c:v>12489267.023999998</c:v>
                </c:pt>
                <c:pt idx="227">
                  <c:v>2951314.7039999999</c:v>
                </c:pt>
                <c:pt idx="228">
                  <c:v>12736916.244000001</c:v>
                </c:pt>
                <c:pt idx="229">
                  <c:v>7286933.1600000001</c:v>
                </c:pt>
                <c:pt idx="230">
                  <c:v>14588890.5</c:v>
                </c:pt>
                <c:pt idx="231">
                  <c:v>9698924.1959999986</c:v>
                </c:pt>
                <c:pt idx="232">
                  <c:v>7885125.6119999997</c:v>
                </c:pt>
                <c:pt idx="233">
                  <c:v>2001571.65</c:v>
                </c:pt>
                <c:pt idx="234">
                  <c:v>7286933.1600000001</c:v>
                </c:pt>
                <c:pt idx="235">
                  <c:v>2536111.656</c:v>
                </c:pt>
                <c:pt idx="236">
                  <c:v>15617534.880000001</c:v>
                </c:pt>
                <c:pt idx="237">
                  <c:v>11784287.267999999</c:v>
                </c:pt>
                <c:pt idx="238">
                  <c:v>1392622.4519999998</c:v>
                </c:pt>
                <c:pt idx="239">
                  <c:v>13783288.895999998</c:v>
                </c:pt>
                <c:pt idx="240">
                  <c:v>4619816.6039999994</c:v>
                </c:pt>
                <c:pt idx="241">
                  <c:v>13442339.663999999</c:v>
                </c:pt>
                <c:pt idx="242">
                  <c:v>9496779.5519999992</c:v>
                </c:pt>
                <c:pt idx="243">
                  <c:v>7286933.1600000001</c:v>
                </c:pt>
                <c:pt idx="244">
                  <c:v>11628468.071999999</c:v>
                </c:pt>
                <c:pt idx="245">
                  <c:v>7286933.1600000001</c:v>
                </c:pt>
                <c:pt idx="246">
                  <c:v>7374589.0919999992</c:v>
                </c:pt>
                <c:pt idx="247">
                  <c:v>11943503.675999999</c:v>
                </c:pt>
                <c:pt idx="248">
                  <c:v>6121264.3200000003</c:v>
                </c:pt>
                <c:pt idx="249">
                  <c:v>12962207.699999999</c:v>
                </c:pt>
                <c:pt idx="250">
                  <c:v>7286933.1600000001</c:v>
                </c:pt>
                <c:pt idx="251">
                  <c:v>2478171.852</c:v>
                </c:pt>
                <c:pt idx="252">
                  <c:v>10832641.092</c:v>
                </c:pt>
                <c:pt idx="253">
                  <c:v>8948443.1399999987</c:v>
                </c:pt>
                <c:pt idx="254">
                  <c:v>10342017.16</c:v>
                </c:pt>
                <c:pt idx="255">
                  <c:v>9015399.4319999982</c:v>
                </c:pt>
                <c:pt idx="256">
                  <c:v>7286933.1600000001</c:v>
                </c:pt>
                <c:pt idx="257">
                  <c:v>7286933.1600000001</c:v>
                </c:pt>
                <c:pt idx="258">
                  <c:v>9915969.0239999983</c:v>
                </c:pt>
                <c:pt idx="259">
                  <c:v>5399808.8039999995</c:v>
                </c:pt>
                <c:pt idx="260">
                  <c:v>12767703.4</c:v>
                </c:pt>
                <c:pt idx="261">
                  <c:v>13741788.060000001</c:v>
                </c:pt>
                <c:pt idx="262">
                  <c:v>3325650.72</c:v>
                </c:pt>
                <c:pt idx="263">
                  <c:v>7372563.1199999992</c:v>
                </c:pt>
                <c:pt idx="264">
                  <c:v>7831585.0999999996</c:v>
                </c:pt>
                <c:pt idx="265">
                  <c:v>8131643.2079999996</c:v>
                </c:pt>
                <c:pt idx="266">
                  <c:v>2237196.7799999998</c:v>
                </c:pt>
                <c:pt idx="267">
                  <c:v>13065972.050000001</c:v>
                </c:pt>
                <c:pt idx="268">
                  <c:v>11639994.443999998</c:v>
                </c:pt>
                <c:pt idx="269">
                  <c:v>15955443.75</c:v>
                </c:pt>
                <c:pt idx="270">
                  <c:v>480544.4</c:v>
                </c:pt>
                <c:pt idx="271">
                  <c:v>12000388.607999999</c:v>
                </c:pt>
                <c:pt idx="272">
                  <c:v>13207913.316</c:v>
                </c:pt>
                <c:pt idx="273">
                  <c:v>10698848.784</c:v>
                </c:pt>
                <c:pt idx="274">
                  <c:v>4871174.2560000001</c:v>
                </c:pt>
                <c:pt idx="275">
                  <c:v>1466580.79</c:v>
                </c:pt>
                <c:pt idx="276">
                  <c:v>15620106.960000001</c:v>
                </c:pt>
                <c:pt idx="277">
                  <c:v>6482655.9720000001</c:v>
                </c:pt>
                <c:pt idx="278">
                  <c:v>65666.483999999997</c:v>
                </c:pt>
                <c:pt idx="279">
                  <c:v>2278801.2799999998</c:v>
                </c:pt>
                <c:pt idx="280">
                  <c:v>4088337.55</c:v>
                </c:pt>
                <c:pt idx="281">
                  <c:v>1887465.0599999998</c:v>
                </c:pt>
                <c:pt idx="282">
                  <c:v>8850756.1999999993</c:v>
                </c:pt>
                <c:pt idx="283">
                  <c:v>12976970.76</c:v>
                </c:pt>
                <c:pt idx="284">
                  <c:v>1987624.0799999998</c:v>
                </c:pt>
                <c:pt idx="285">
                  <c:v>10607068.550000001</c:v>
                </c:pt>
                <c:pt idx="286">
                  <c:v>5704023.7800000003</c:v>
                </c:pt>
                <c:pt idx="287">
                  <c:v>3550281.19</c:v>
                </c:pt>
                <c:pt idx="288">
                  <c:v>10798310.952</c:v>
                </c:pt>
                <c:pt idx="289">
                  <c:v>8259325.3079999993</c:v>
                </c:pt>
                <c:pt idx="290">
                  <c:v>11494340.207999999</c:v>
                </c:pt>
                <c:pt idx="291">
                  <c:v>12557302.055999998</c:v>
                </c:pt>
                <c:pt idx="292">
                  <c:v>13839500.376</c:v>
                </c:pt>
                <c:pt idx="293">
                  <c:v>16534918.619999999</c:v>
                </c:pt>
                <c:pt idx="294">
                  <c:v>9030814.6000000015</c:v>
                </c:pt>
                <c:pt idx="295">
                  <c:v>11301865.847999999</c:v>
                </c:pt>
                <c:pt idx="296">
                  <c:v>803224.65599999984</c:v>
                </c:pt>
                <c:pt idx="297">
                  <c:v>2546126.3879999998</c:v>
                </c:pt>
                <c:pt idx="298">
                  <c:v>5314615.4879999999</c:v>
                </c:pt>
                <c:pt idx="299">
                  <c:v>7286933.1600000001</c:v>
                </c:pt>
                <c:pt idx="300">
                  <c:v>852658.09199999983</c:v>
                </c:pt>
                <c:pt idx="301">
                  <c:v>10597322.736</c:v>
                </c:pt>
                <c:pt idx="302">
                  <c:v>4160992.2119999994</c:v>
                </c:pt>
                <c:pt idx="303">
                  <c:v>328547.69999999995</c:v>
                </c:pt>
                <c:pt idx="304">
                  <c:v>9537168.8880000003</c:v>
                </c:pt>
                <c:pt idx="305">
                  <c:v>7286933.1600000001</c:v>
                </c:pt>
                <c:pt idx="306">
                  <c:v>19363748.34</c:v>
                </c:pt>
                <c:pt idx="307">
                  <c:v>8053192.8359999992</c:v>
                </c:pt>
                <c:pt idx="308">
                  <c:v>4078528.16</c:v>
                </c:pt>
                <c:pt idx="309">
                  <c:v>6513438.6720000003</c:v>
                </c:pt>
                <c:pt idx="310">
                  <c:v>12923407.100000001</c:v>
                </c:pt>
                <c:pt idx="311">
                  <c:v>8976164.1840000004</c:v>
                </c:pt>
                <c:pt idx="312">
                  <c:v>6280985.8799999999</c:v>
                </c:pt>
                <c:pt idx="313">
                  <c:v>1131124.176</c:v>
                </c:pt>
                <c:pt idx="314">
                  <c:v>8061594.8399999989</c:v>
                </c:pt>
                <c:pt idx="315">
                  <c:v>3853718.91</c:v>
                </c:pt>
                <c:pt idx="316">
                  <c:v>13440606.66</c:v>
                </c:pt>
                <c:pt idx="317">
                  <c:v>5605333.2000000002</c:v>
                </c:pt>
                <c:pt idx="318">
                  <c:v>7855836.7680000002</c:v>
                </c:pt>
                <c:pt idx="319">
                  <c:v>7286933.1600000001</c:v>
                </c:pt>
                <c:pt idx="320">
                  <c:v>12565330.595999997</c:v>
                </c:pt>
                <c:pt idx="321">
                  <c:v>10813953.852</c:v>
                </c:pt>
                <c:pt idx="322">
                  <c:v>8372164.04</c:v>
                </c:pt>
                <c:pt idx="323">
                  <c:v>1427834.7719999999</c:v>
                </c:pt>
                <c:pt idx="324">
                  <c:v>6176166.0479999986</c:v>
                </c:pt>
                <c:pt idx="325">
                  <c:v>8635891.4399999995</c:v>
                </c:pt>
                <c:pt idx="326">
                  <c:v>243905.68799999997</c:v>
                </c:pt>
                <c:pt idx="327">
                  <c:v>1783601.82</c:v>
                </c:pt>
                <c:pt idx="328">
                  <c:v>7318073.9000000004</c:v>
                </c:pt>
                <c:pt idx="329">
                  <c:v>1082048.1000000001</c:v>
                </c:pt>
                <c:pt idx="330">
                  <c:v>4228024.3199999994</c:v>
                </c:pt>
                <c:pt idx="331">
                  <c:v>2538722.88</c:v>
                </c:pt>
                <c:pt idx="332">
                  <c:v>7928176.4639999997</c:v>
                </c:pt>
                <c:pt idx="333">
                  <c:v>5305202.1359999999</c:v>
                </c:pt>
                <c:pt idx="334">
                  <c:v>12473814.99</c:v>
                </c:pt>
                <c:pt idx="335">
                  <c:v>11744125.847999999</c:v>
                </c:pt>
                <c:pt idx="336">
                  <c:v>10389994.523999998</c:v>
                </c:pt>
                <c:pt idx="337">
                  <c:v>12248503.26</c:v>
                </c:pt>
                <c:pt idx="338">
                  <c:v>6285113.1720000003</c:v>
                </c:pt>
                <c:pt idx="339">
                  <c:v>9217897.8839999996</c:v>
                </c:pt>
                <c:pt idx="340">
                  <c:v>867979.00800000003</c:v>
                </c:pt>
                <c:pt idx="341">
                  <c:v>19102572.684</c:v>
                </c:pt>
                <c:pt idx="342">
                  <c:v>8117633.6279999996</c:v>
                </c:pt>
                <c:pt idx="343">
                  <c:v>10149182.316</c:v>
                </c:pt>
                <c:pt idx="344">
                  <c:v>2491259.2000000002</c:v>
                </c:pt>
                <c:pt idx="345">
                  <c:v>10138680.864</c:v>
                </c:pt>
                <c:pt idx="346">
                  <c:v>7966550.1239999989</c:v>
                </c:pt>
                <c:pt idx="347">
                  <c:v>7286933.1600000001</c:v>
                </c:pt>
                <c:pt idx="348">
                  <c:v>12817708.955999998</c:v>
                </c:pt>
                <c:pt idx="349">
                  <c:v>4158637.236</c:v>
                </c:pt>
                <c:pt idx="350">
                  <c:v>12144888.600000001</c:v>
                </c:pt>
                <c:pt idx="351">
                  <c:v>6775656</c:v>
                </c:pt>
                <c:pt idx="352">
                  <c:v>4643626.1039999994</c:v>
                </c:pt>
                <c:pt idx="353">
                  <c:v>7357073.1399999997</c:v>
                </c:pt>
                <c:pt idx="354">
                  <c:v>9434853.3239999991</c:v>
                </c:pt>
                <c:pt idx="355">
                  <c:v>7286933.1600000001</c:v>
                </c:pt>
                <c:pt idx="356">
                  <c:v>3590025.1919999998</c:v>
                </c:pt>
                <c:pt idx="357">
                  <c:v>3089106.0719999997</c:v>
                </c:pt>
                <c:pt idx="358">
                  <c:v>10030575.359999999</c:v>
                </c:pt>
                <c:pt idx="359">
                  <c:v>8187519.5999999996</c:v>
                </c:pt>
                <c:pt idx="360">
                  <c:v>1872811.044</c:v>
                </c:pt>
                <c:pt idx="361">
                  <c:v>256593.636</c:v>
                </c:pt>
                <c:pt idx="362">
                  <c:v>21572015</c:v>
                </c:pt>
                <c:pt idx="363">
                  <c:v>326782.96000000002</c:v>
                </c:pt>
                <c:pt idx="364">
                  <c:v>3278337.6599999997</c:v>
                </c:pt>
                <c:pt idx="365">
                  <c:v>12578916.168</c:v>
                </c:pt>
                <c:pt idx="366">
                  <c:v>459478.11</c:v>
                </c:pt>
                <c:pt idx="367">
                  <c:v>243911.2</c:v>
                </c:pt>
                <c:pt idx="368">
                  <c:v>4409502.5520000001</c:v>
                </c:pt>
                <c:pt idx="369">
                  <c:v>13451653.15</c:v>
                </c:pt>
                <c:pt idx="370">
                  <c:v>3400963.9559999998</c:v>
                </c:pt>
                <c:pt idx="371">
                  <c:v>12281669.712000001</c:v>
                </c:pt>
                <c:pt idx="372">
                  <c:v>9264324.8880000003</c:v>
                </c:pt>
                <c:pt idx="373">
                  <c:v>5745805.4159999993</c:v>
                </c:pt>
                <c:pt idx="374">
                  <c:v>9862222.5</c:v>
                </c:pt>
                <c:pt idx="375">
                  <c:v>5352376.067999999</c:v>
                </c:pt>
                <c:pt idx="376">
                  <c:v>10752965.964</c:v>
                </c:pt>
                <c:pt idx="377">
                  <c:v>5224644.8279999997</c:v>
                </c:pt>
                <c:pt idx="378">
                  <c:v>3299056.8</c:v>
                </c:pt>
                <c:pt idx="379">
                  <c:v>10596552.408</c:v>
                </c:pt>
                <c:pt idx="380">
                  <c:v>1982654.388</c:v>
                </c:pt>
                <c:pt idx="381">
                  <c:v>13532354.784</c:v>
                </c:pt>
                <c:pt idx="382">
                  <c:v>16506303.68</c:v>
                </c:pt>
                <c:pt idx="383">
                  <c:v>2686886.28</c:v>
                </c:pt>
                <c:pt idx="384">
                  <c:v>3798794.1</c:v>
                </c:pt>
                <c:pt idx="385">
                  <c:v>13037180.363999998</c:v>
                </c:pt>
                <c:pt idx="386">
                  <c:v>4226816.88</c:v>
                </c:pt>
                <c:pt idx="387">
                  <c:v>13210108.199999999</c:v>
                </c:pt>
                <c:pt idx="388">
                  <c:v>8843492.2679999992</c:v>
                </c:pt>
                <c:pt idx="389">
                  <c:v>4843200.2300000004</c:v>
                </c:pt>
                <c:pt idx="390">
                  <c:v>7286933.1600000001</c:v>
                </c:pt>
                <c:pt idx="391">
                  <c:v>12397422.023999998</c:v>
                </c:pt>
                <c:pt idx="392">
                  <c:v>6941510.6399999997</c:v>
                </c:pt>
                <c:pt idx="393">
                  <c:v>7710194.5599999996</c:v>
                </c:pt>
                <c:pt idx="394">
                  <c:v>5893275.96</c:v>
                </c:pt>
                <c:pt idx="395">
                  <c:v>2693170.96</c:v>
                </c:pt>
                <c:pt idx="396">
                  <c:v>11199808.18</c:v>
                </c:pt>
                <c:pt idx="397">
                  <c:v>1130980.9679999999</c:v>
                </c:pt>
                <c:pt idx="398">
                  <c:v>4041798.696</c:v>
                </c:pt>
                <c:pt idx="399">
                  <c:v>7371354.743999999</c:v>
                </c:pt>
                <c:pt idx="400">
                  <c:v>2634855.4440000001</c:v>
                </c:pt>
                <c:pt idx="401">
                  <c:v>12711004.955999998</c:v>
                </c:pt>
                <c:pt idx="402">
                  <c:v>3378006.2159999995</c:v>
                </c:pt>
                <c:pt idx="403">
                  <c:v>2304596.69</c:v>
                </c:pt>
                <c:pt idx="404">
                  <c:v>7496029.0079999994</c:v>
                </c:pt>
                <c:pt idx="405">
                  <c:v>13673322</c:v>
                </c:pt>
                <c:pt idx="406">
                  <c:v>3090320.2</c:v>
                </c:pt>
                <c:pt idx="407">
                  <c:v>7286933.1600000001</c:v>
                </c:pt>
                <c:pt idx="408">
                  <c:v>10328574.204</c:v>
                </c:pt>
                <c:pt idx="409">
                  <c:v>17958791.920000002</c:v>
                </c:pt>
                <c:pt idx="410">
                  <c:v>6580812.8200000003</c:v>
                </c:pt>
                <c:pt idx="411">
                  <c:v>12891323.483999999</c:v>
                </c:pt>
                <c:pt idx="412">
                  <c:v>3247479.1439999999</c:v>
                </c:pt>
                <c:pt idx="413">
                  <c:v>3689485.9559999998</c:v>
                </c:pt>
                <c:pt idx="414">
                  <c:v>12249949.607999999</c:v>
                </c:pt>
                <c:pt idx="415">
                  <c:v>9726919.9560000002</c:v>
                </c:pt>
                <c:pt idx="416">
                  <c:v>9859286.1600000001</c:v>
                </c:pt>
                <c:pt idx="417">
                  <c:v>3243945.2760000001</c:v>
                </c:pt>
                <c:pt idx="418">
                  <c:v>6872206.5359999994</c:v>
                </c:pt>
                <c:pt idx="419">
                  <c:v>7545550.8959999997</c:v>
                </c:pt>
                <c:pt idx="420">
                  <c:v>2992224.9239999996</c:v>
                </c:pt>
                <c:pt idx="421">
                  <c:v>467509.06799999997</c:v>
                </c:pt>
                <c:pt idx="422">
                  <c:v>7588997.2079999996</c:v>
                </c:pt>
                <c:pt idx="423">
                  <c:v>7286933.1600000001</c:v>
                </c:pt>
                <c:pt idx="424">
                  <c:v>11165704.523999998</c:v>
                </c:pt>
                <c:pt idx="425">
                  <c:v>7286933.1600000001</c:v>
                </c:pt>
                <c:pt idx="426">
                  <c:v>12467357.136</c:v>
                </c:pt>
                <c:pt idx="427">
                  <c:v>3252280.72</c:v>
                </c:pt>
                <c:pt idx="428">
                  <c:v>62817</c:v>
                </c:pt>
                <c:pt idx="429">
                  <c:v>7778946.7079999996</c:v>
                </c:pt>
                <c:pt idx="430">
                  <c:v>10851758.891999999</c:v>
                </c:pt>
                <c:pt idx="431">
                  <c:v>5962196.9159999993</c:v>
                </c:pt>
                <c:pt idx="432">
                  <c:v>7879530.2039999999</c:v>
                </c:pt>
                <c:pt idx="433">
                  <c:v>3597572.1599999997</c:v>
                </c:pt>
                <c:pt idx="434">
                  <c:v>9998800.3499999996</c:v>
                </c:pt>
                <c:pt idx="435">
                  <c:v>6872562.7800000003</c:v>
                </c:pt>
                <c:pt idx="436">
                  <c:v>11914760.988</c:v>
                </c:pt>
                <c:pt idx="437">
                  <c:v>12290842.979999999</c:v>
                </c:pt>
                <c:pt idx="438">
                  <c:v>13432877.639999999</c:v>
                </c:pt>
                <c:pt idx="439">
                  <c:v>8316561.2399999993</c:v>
                </c:pt>
                <c:pt idx="440">
                  <c:v>6640232.9759999998</c:v>
                </c:pt>
                <c:pt idx="441">
                  <c:v>13730383.367999999</c:v>
                </c:pt>
                <c:pt idx="442">
                  <c:v>745768.29599999997</c:v>
                </c:pt>
                <c:pt idx="443">
                  <c:v>4652993.5920000002</c:v>
                </c:pt>
                <c:pt idx="444">
                  <c:v>13542673.715999998</c:v>
                </c:pt>
                <c:pt idx="445">
                  <c:v>3089935.86</c:v>
                </c:pt>
                <c:pt idx="446">
                  <c:v>5704665</c:v>
                </c:pt>
                <c:pt idx="447">
                  <c:v>4991459.148</c:v>
                </c:pt>
                <c:pt idx="448">
                  <c:v>7286933.1600000001</c:v>
                </c:pt>
                <c:pt idx="449">
                  <c:v>2881268.2079999996</c:v>
                </c:pt>
                <c:pt idx="450">
                  <c:v>613028.98800000001</c:v>
                </c:pt>
                <c:pt idx="451">
                  <c:v>6644896.5959999999</c:v>
                </c:pt>
                <c:pt idx="452">
                  <c:v>7532626.6079999991</c:v>
                </c:pt>
                <c:pt idx="453">
                  <c:v>6823110.3099999996</c:v>
                </c:pt>
                <c:pt idx="454">
                  <c:v>3453740.784</c:v>
                </c:pt>
                <c:pt idx="455">
                  <c:v>7090747.5600000005</c:v>
                </c:pt>
                <c:pt idx="456">
                  <c:v>7286933.1600000001</c:v>
                </c:pt>
                <c:pt idx="457">
                  <c:v>7318073.9000000004</c:v>
                </c:pt>
                <c:pt idx="458">
                  <c:v>8803340.0399999991</c:v>
                </c:pt>
                <c:pt idx="459">
                  <c:v>680555.772</c:v>
                </c:pt>
                <c:pt idx="460">
                  <c:v>3377321.0639999998</c:v>
                </c:pt>
                <c:pt idx="461">
                  <c:v>9247854.095999999</c:v>
                </c:pt>
                <c:pt idx="462">
                  <c:v>4057228.6559999995</c:v>
                </c:pt>
                <c:pt idx="463">
                  <c:v>1148231.916</c:v>
                </c:pt>
                <c:pt idx="464">
                  <c:v>5049848.25</c:v>
                </c:pt>
                <c:pt idx="465">
                  <c:v>9040503.8880000003</c:v>
                </c:pt>
                <c:pt idx="466">
                  <c:v>8009911.7279999992</c:v>
                </c:pt>
                <c:pt idx="467">
                  <c:v>9277127.027999999</c:v>
                </c:pt>
                <c:pt idx="468">
                  <c:v>12868170.587999998</c:v>
                </c:pt>
                <c:pt idx="469">
                  <c:v>12516866.387999998</c:v>
                </c:pt>
                <c:pt idx="470">
                  <c:v>2718207.07</c:v>
                </c:pt>
                <c:pt idx="471">
                  <c:v>1043588.9879999999</c:v>
                </c:pt>
                <c:pt idx="472">
                  <c:v>6875106.2640000004</c:v>
                </c:pt>
                <c:pt idx="473">
                  <c:v>11648856.023999998</c:v>
                </c:pt>
                <c:pt idx="474">
                  <c:v>10115519.543999998</c:v>
                </c:pt>
                <c:pt idx="475">
                  <c:v>12849738.390000001</c:v>
                </c:pt>
                <c:pt idx="476">
                  <c:v>2558174.73</c:v>
                </c:pt>
                <c:pt idx="477">
                  <c:v>11629112.52</c:v>
                </c:pt>
                <c:pt idx="478">
                  <c:v>3745234.1159999995</c:v>
                </c:pt>
                <c:pt idx="479">
                  <c:v>7286933.1600000001</c:v>
                </c:pt>
                <c:pt idx="480">
                  <c:v>15639384.689999999</c:v>
                </c:pt>
                <c:pt idx="481">
                  <c:v>1008749.04</c:v>
                </c:pt>
                <c:pt idx="482">
                  <c:v>8710620.0479999986</c:v>
                </c:pt>
                <c:pt idx="483">
                  <c:v>257843.66399999996</c:v>
                </c:pt>
                <c:pt idx="484">
                  <c:v>4201847.5199999996</c:v>
                </c:pt>
                <c:pt idx="485">
                  <c:v>10880744.471999999</c:v>
                </c:pt>
                <c:pt idx="486">
                  <c:v>291049618.67599994</c:v>
                </c:pt>
                <c:pt idx="487">
                  <c:v>12043212.48</c:v>
                </c:pt>
                <c:pt idx="488">
                  <c:v>7286933.1600000001</c:v>
                </c:pt>
                <c:pt idx="489">
                  <c:v>10102652.819999998</c:v>
                </c:pt>
                <c:pt idx="490">
                  <c:v>4845673.84</c:v>
                </c:pt>
                <c:pt idx="491">
                  <c:v>5310012.7079999996</c:v>
                </c:pt>
                <c:pt idx="492">
                  <c:v>3880122.48</c:v>
                </c:pt>
                <c:pt idx="493">
                  <c:v>19212038.66</c:v>
                </c:pt>
                <c:pt idx="494">
                  <c:v>12487801.247999998</c:v>
                </c:pt>
                <c:pt idx="495">
                  <c:v>7286933.1600000001</c:v>
                </c:pt>
                <c:pt idx="496">
                  <c:v>9903714.4439999983</c:v>
                </c:pt>
                <c:pt idx="497">
                  <c:v>13791349.728</c:v>
                </c:pt>
                <c:pt idx="498">
                  <c:v>10901173.139999999</c:v>
                </c:pt>
                <c:pt idx="499">
                  <c:v>4218244.5239999993</c:v>
                </c:pt>
                <c:pt idx="500">
                  <c:v>9141740.7119999994</c:v>
                </c:pt>
                <c:pt idx="501">
                  <c:v>11872049.435999999</c:v>
                </c:pt>
                <c:pt idx="502">
                  <c:v>425044.95</c:v>
                </c:pt>
                <c:pt idx="503">
                  <c:v>9840414.6359999981</c:v>
                </c:pt>
                <c:pt idx="504">
                  <c:v>10859133.635999998</c:v>
                </c:pt>
                <c:pt idx="505">
                  <c:v>1079899.1599999999</c:v>
                </c:pt>
                <c:pt idx="506">
                  <c:v>143934.54</c:v>
                </c:pt>
              </c:numCache>
            </c:numRef>
          </c:val>
          <c:extLst>
            <c:ext xmlns:c16="http://schemas.microsoft.com/office/drawing/2014/chart" uri="{C3380CC4-5D6E-409C-BE32-E72D297353CC}">
              <c16:uniqueId val="{00000000-70F6-47E2-977C-4796129D9AF4}"/>
            </c:ext>
          </c:extLst>
        </c:ser>
        <c:dLbls>
          <c:showLegendKey val="0"/>
          <c:showVal val="0"/>
          <c:showCatName val="0"/>
          <c:showSerName val="0"/>
          <c:showPercent val="0"/>
          <c:showBubbleSize val="0"/>
        </c:dLbls>
        <c:gapWidth val="219"/>
        <c:axId val="749840112"/>
        <c:axId val="749835120"/>
      </c:barChart>
      <c:catAx>
        <c:axId val="7498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35120"/>
        <c:crosses val="autoZero"/>
        <c:auto val="1"/>
        <c:lblAlgn val="ctr"/>
        <c:lblOffset val="100"/>
        <c:noMultiLvlLbl val="0"/>
      </c:catAx>
      <c:valAx>
        <c:axId val="74983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 Price of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pivotFmt>
      <c:pivotFmt>
        <c:idx val="2"/>
        <c:spPr>
          <a:solidFill>
            <a:schemeClr val="tx1"/>
          </a:solidFill>
          <a:ln w="19050">
            <a:solidFill>
              <a:schemeClr val="lt1"/>
            </a:solidFill>
          </a:ln>
          <a:effectLst/>
        </c:spPr>
      </c:pivotFmt>
      <c:pivotFmt>
        <c:idx val="3"/>
        <c:spPr>
          <a:solidFill>
            <a:schemeClr val="bg1">
              <a:lumMod val="50000"/>
            </a:schemeClr>
          </a:solidFill>
          <a:ln w="19050">
            <a:solidFill>
              <a:schemeClr val="lt1"/>
            </a:solidFill>
          </a:ln>
          <a:effectLst/>
        </c:spPr>
      </c:pivotFmt>
      <c:pivotFmt>
        <c:idx val="4"/>
        <c:spPr>
          <a:solidFill>
            <a:schemeClr val="tx2">
              <a:lumMod val="20000"/>
              <a:lumOff val="80000"/>
            </a:schemeClr>
          </a:solidFill>
          <a:ln w="19050">
            <a:solidFill>
              <a:schemeClr val="lt1"/>
            </a:solidFill>
          </a:ln>
          <a:effectLst/>
        </c:spPr>
      </c:pivotFmt>
      <c:pivotFmt>
        <c:idx val="5"/>
        <c:spPr>
          <a:solidFill>
            <a:schemeClr val="tx2">
              <a:lumMod val="75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Sheet3!$B$577</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3-9752-4179-9053-2CFFFA878FE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72-9752-4179-9053-2CFFFA878FE6}"/>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B-9752-4179-9053-2CFFFA878FE6}"/>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43-9752-4179-9053-2CFFFA878FE6}"/>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33-9752-4179-9053-2CFFFA878FE6}"/>
              </c:ext>
            </c:extLst>
          </c:dPt>
          <c:dPt>
            <c:idx val="5"/>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21-9752-4179-9053-2CFFFA878FE6}"/>
              </c:ext>
            </c:extLst>
          </c:dPt>
          <c:dPt>
            <c:idx val="6"/>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18-9752-4179-9053-2CFFFA878FE6}"/>
              </c:ext>
            </c:extLst>
          </c:dPt>
          <c:dPt>
            <c:idx val="7"/>
            <c:bubble3D val="0"/>
            <c:spPr>
              <a:solidFill>
                <a:schemeClr val="tx1"/>
              </a:solidFill>
              <a:ln w="19050">
                <a:solidFill>
                  <a:schemeClr val="lt1"/>
                </a:solidFill>
              </a:ln>
              <a:effectLst/>
            </c:spPr>
            <c:extLst>
              <c:ext xmlns:c16="http://schemas.microsoft.com/office/drawing/2014/chart" uri="{C3380CC4-5D6E-409C-BE32-E72D297353CC}">
                <c16:uniqueId val="{00000009-9752-4179-9053-2CFFFA878FE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38-4C6B-A1B2-D78B4BBD7EA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Sheet3!$A$578:$A$587</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Sheet3!$B$578:$B$587</c:f>
              <c:numCache>
                <c:formatCode>General</c:formatCode>
                <c:ptCount val="9"/>
                <c:pt idx="0">
                  <c:v>134386.55384615384</c:v>
                </c:pt>
                <c:pt idx="1">
                  <c:v>150674.52440677967</c:v>
                </c:pt>
                <c:pt idx="2">
                  <c:v>157109.94508771924</c:v>
                </c:pt>
                <c:pt idx="3">
                  <c:v>168806.10370786514</c:v>
                </c:pt>
                <c:pt idx="4">
                  <c:v>148867.81805970141</c:v>
                </c:pt>
                <c:pt idx="5">
                  <c:v>153068.32380281694</c:v>
                </c:pt>
                <c:pt idx="6">
                  <c:v>173245.04228070169</c:v>
                </c:pt>
                <c:pt idx="7">
                  <c:v>156660.46305882357</c:v>
                </c:pt>
              </c:numCache>
            </c:numRef>
          </c:val>
          <c:extLst>
            <c:ext xmlns:c16="http://schemas.microsoft.com/office/drawing/2014/chart" uri="{C3380CC4-5D6E-409C-BE32-E72D297353CC}">
              <c16:uniqueId val="{00000000-9752-4179-9053-2CFFFA878F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Units</a:t>
            </a:r>
            <a:r>
              <a:rPr lang="en-US" baseline="0">
                <a:latin typeface="Times New Roman" panose="02020603050405020304" pitchFamily="18" charset="0"/>
                <a:cs typeface="Times New Roman" panose="02020603050405020304" pitchFamily="18" charset="0"/>
              </a:rPr>
              <a:t> Sold per product</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1">
              <a:lumMod val="85000"/>
            </a:schemeClr>
          </a:solidFill>
          <a:ln w="19050">
            <a:solidFill>
              <a:schemeClr val="lt1"/>
            </a:solidFill>
          </a:ln>
          <a:effectLst/>
        </c:spPr>
        <c:dLbl>
          <c:idx val="0"/>
          <c:layout>
            <c:manualLayout>
              <c:x val="5.8333333333333334E-2"/>
              <c:y val="-3.70370370370370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85000"/>
            </a:schemeClr>
          </a:solidFill>
          <a:ln w="19050">
            <a:solidFill>
              <a:schemeClr val="lt1"/>
            </a:solidFill>
          </a:ln>
          <a:effectLst/>
        </c:spPr>
        <c:dLbl>
          <c:idx val="0"/>
          <c:layout>
            <c:manualLayout>
              <c:x val="5.8333333333333334E-2"/>
              <c:y val="-3.70370370370370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75000"/>
            </a:schemeClr>
          </a:solidFill>
          <a:ln w="19050">
            <a:solidFill>
              <a:schemeClr val="lt1"/>
            </a:solidFill>
          </a:ln>
          <a:effectLst/>
        </c:spPr>
      </c:pivotFmt>
      <c:pivotFmt>
        <c:idx val="4"/>
        <c:spPr>
          <a:solidFill>
            <a:schemeClr val="tx2">
              <a:lumMod val="60000"/>
              <a:lumOff val="40000"/>
            </a:schemeClr>
          </a:solidFill>
          <a:ln w="19050">
            <a:solidFill>
              <a:schemeClr val="lt1"/>
            </a:solidFill>
          </a:ln>
          <a:effectLst/>
        </c:spPr>
        <c:dLbl>
          <c:idx val="0"/>
          <c:layout>
            <c:manualLayout>
              <c:x val="-4.166666666666666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4.4444444444444467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50000"/>
            </a:schemeClr>
          </a:solidFill>
          <a:ln w="19050">
            <a:solidFill>
              <a:schemeClr val="lt1"/>
            </a:solidFill>
          </a:ln>
          <a:effectLst/>
        </c:spPr>
        <c:dLbl>
          <c:idx val="0"/>
          <c:layout>
            <c:manualLayout>
              <c:x val="-3.6111111111111108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722222222222224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s>
    <c:plotArea>
      <c:layout/>
      <c:doughnutChart>
        <c:varyColors val="1"/>
        <c:ser>
          <c:idx val="0"/>
          <c:order val="0"/>
          <c:tx>
            <c:strRef>
              <c:f>Sheet3!$B$592</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0-7D0F-493A-B654-4C650181E486}"/>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C-7D0F-493A-B654-4C650181E4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E-7D0F-493A-B654-4C650181E486}"/>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4-7D0F-493A-B654-4C650181E486}"/>
              </c:ext>
            </c:extLst>
          </c:dPt>
          <c:dPt>
            <c:idx val="4"/>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C-7D0F-493A-B654-4C650181E486}"/>
              </c:ext>
            </c:extLst>
          </c:dPt>
          <c:dPt>
            <c:idx val="5"/>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3F-7D0F-493A-B654-4C650181E4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F-7D0F-493A-B654-4C650181E486}"/>
              </c:ext>
            </c:extLst>
          </c:dPt>
          <c:dPt>
            <c:idx val="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5D-7D0F-493A-B654-4C650181E48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6A9-43BB-82F0-597C015675AB}"/>
              </c:ext>
            </c:extLst>
          </c:dPt>
          <c:dLbls>
            <c:dLbl>
              <c:idx val="0"/>
              <c:layout>
                <c:manualLayout>
                  <c:x val="5.8333333333333334E-2"/>
                  <c:y val="-3.70370370370370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D0F-493A-B654-4C650181E486}"/>
                </c:ext>
              </c:extLst>
            </c:dLbl>
            <c:dLbl>
              <c:idx val="1"/>
              <c:layout>
                <c:manualLayout>
                  <c:x val="5.8333333333333334E-2"/>
                  <c:y val="-3.70370370370370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D0F-493A-B654-4C650181E486}"/>
                </c:ext>
              </c:extLst>
            </c:dLbl>
            <c:dLbl>
              <c:idx val="2"/>
              <c:layout>
                <c:manualLayout>
                  <c:x val="2.2222222222222223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E-7D0F-493A-B654-4C650181E486}"/>
                </c:ext>
              </c:extLst>
            </c:dLbl>
            <c:dLbl>
              <c:idx val="4"/>
              <c:layout>
                <c:manualLayout>
                  <c:x val="-4.1666666666666664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7D0F-493A-B654-4C650181E486}"/>
                </c:ext>
              </c:extLst>
            </c:dLbl>
            <c:dLbl>
              <c:idx val="5"/>
              <c:layout>
                <c:manualLayout>
                  <c:x val="-4.4444444444444467E-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F-7D0F-493A-B654-4C650181E486}"/>
                </c:ext>
              </c:extLst>
            </c:dLbl>
            <c:dLbl>
              <c:idx val="6"/>
              <c:layout>
                <c:manualLayout>
                  <c:x val="-4.7222222222222249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F-7D0F-493A-B654-4C650181E486}"/>
                </c:ext>
              </c:extLst>
            </c:dLbl>
            <c:dLbl>
              <c:idx val="7"/>
              <c:layout>
                <c:manualLayout>
                  <c:x val="-3.6111111111111108E-2"/>
                  <c:y val="-6.94444444444444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D-7D0F-493A-B654-4C650181E48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Sheet3!$A$593:$A$602</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Sheet3!$B$593:$B$602</c:f>
              <c:numCache>
                <c:formatCode>General</c:formatCode>
                <c:ptCount val="9"/>
                <c:pt idx="0">
                  <c:v>2875.0000000000009</c:v>
                </c:pt>
                <c:pt idx="1">
                  <c:v>2768.2000000000016</c:v>
                </c:pt>
                <c:pt idx="2">
                  <c:v>2784.6000000000004</c:v>
                </c:pt>
                <c:pt idx="3">
                  <c:v>4351.6000000000049</c:v>
                </c:pt>
                <c:pt idx="4">
                  <c:v>2970.2000000000016</c:v>
                </c:pt>
                <c:pt idx="5">
                  <c:v>3102.6000000000022</c:v>
                </c:pt>
                <c:pt idx="6">
                  <c:v>2843.2000000000007</c:v>
                </c:pt>
                <c:pt idx="7">
                  <c:v>4053.6000000000049</c:v>
                </c:pt>
              </c:numCache>
            </c:numRef>
          </c:val>
          <c:extLst>
            <c:ext xmlns:c16="http://schemas.microsoft.com/office/drawing/2014/chart" uri="{C3380CC4-5D6E-409C-BE32-E72D297353CC}">
              <c16:uniqueId val="{00000000-7D0F-493A-B654-4C650181E4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Average of  Sales Per State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5244154043144"/>
          <c:y val="0.12928650527075725"/>
          <c:w val="0.79376414155127162"/>
          <c:h val="0.73593598003046823"/>
        </c:manualLayout>
      </c:layout>
      <c:barChart>
        <c:barDir val="bar"/>
        <c:grouping val="clustered"/>
        <c:varyColors val="0"/>
        <c:ser>
          <c:idx val="0"/>
          <c:order val="0"/>
          <c:tx>
            <c:strRef>
              <c:f>Sheet3!$B$607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Sheet3!$A$608:$A$629</c:f>
              <c:strCache>
                <c:ptCount val="21"/>
                <c:pt idx="0">
                  <c:v>Abuja</c:v>
                </c:pt>
                <c:pt idx="1">
                  <c:v>Anambra</c:v>
                </c:pt>
                <c:pt idx="2">
                  <c:v>Bauchi</c:v>
                </c:pt>
                <c:pt idx="3">
                  <c:v>Benue</c:v>
                </c:pt>
                <c:pt idx="4">
                  <c:v>Borno</c:v>
                </c:pt>
                <c:pt idx="5">
                  <c:v>Cross River</c:v>
                </c:pt>
                <c:pt idx="6">
                  <c:v>Delta</c:v>
                </c:pt>
                <c:pt idx="7">
                  <c:v>Ekiti</c:v>
                </c:pt>
                <c:pt idx="8">
                  <c:v>Enugu</c:v>
                </c:pt>
                <c:pt idx="9">
                  <c:v>Imo</c:v>
                </c:pt>
                <c:pt idx="10">
                  <c:v>Kaduna</c:v>
                </c:pt>
                <c:pt idx="11">
                  <c:v>Kano</c:v>
                </c:pt>
                <c:pt idx="12">
                  <c:v>Katsina</c:v>
                </c:pt>
                <c:pt idx="13">
                  <c:v>Lagos</c:v>
                </c:pt>
                <c:pt idx="14">
                  <c:v>Niger</c:v>
                </c:pt>
                <c:pt idx="15">
                  <c:v>Osun</c:v>
                </c:pt>
                <c:pt idx="16">
                  <c:v>Oyo </c:v>
                </c:pt>
                <c:pt idx="17">
                  <c:v>Plateau</c:v>
                </c:pt>
                <c:pt idx="18">
                  <c:v>Rivers</c:v>
                </c:pt>
                <c:pt idx="19">
                  <c:v>Sokoto</c:v>
                </c:pt>
                <c:pt idx="20">
                  <c:v>(blank)</c:v>
                </c:pt>
              </c:strCache>
            </c:strRef>
          </c:cat>
          <c:val>
            <c:numRef>
              <c:f>Sheet3!$B$608:$B$629</c:f>
              <c:numCache>
                <c:formatCode>General</c:formatCode>
                <c:ptCount val="21"/>
                <c:pt idx="0">
                  <c:v>6031512.4164137943</c:v>
                </c:pt>
                <c:pt idx="1">
                  <c:v>6460976.9649999989</c:v>
                </c:pt>
                <c:pt idx="2">
                  <c:v>7220144.5178461531</c:v>
                </c:pt>
                <c:pt idx="3">
                  <c:v>7695543.9441599986</c:v>
                </c:pt>
                <c:pt idx="4">
                  <c:v>4954765.9078260856</c:v>
                </c:pt>
                <c:pt idx="5">
                  <c:v>7340944.9554117648</c:v>
                </c:pt>
                <c:pt idx="6">
                  <c:v>7414756.4107692316</c:v>
                </c:pt>
                <c:pt idx="7">
                  <c:v>6874457.7108888878</c:v>
                </c:pt>
                <c:pt idx="8">
                  <c:v>7070122.1466451604</c:v>
                </c:pt>
                <c:pt idx="9">
                  <c:v>7277400.2891578954</c:v>
                </c:pt>
                <c:pt idx="10">
                  <c:v>8766918.4960000012</c:v>
                </c:pt>
                <c:pt idx="11">
                  <c:v>8293315.760545454</c:v>
                </c:pt>
                <c:pt idx="12">
                  <c:v>8383507.7465599999</c:v>
                </c:pt>
                <c:pt idx="13">
                  <c:v>7426500.6264347797</c:v>
                </c:pt>
                <c:pt idx="14">
                  <c:v>6806601.4765806459</c:v>
                </c:pt>
                <c:pt idx="15">
                  <c:v>8910206.7986666653</c:v>
                </c:pt>
                <c:pt idx="16">
                  <c:v>8311724.1832800005</c:v>
                </c:pt>
                <c:pt idx="17">
                  <c:v>6252556.552083333</c:v>
                </c:pt>
                <c:pt idx="18">
                  <c:v>7396888.4985806439</c:v>
                </c:pt>
                <c:pt idx="19">
                  <c:v>7740087.6809999989</c:v>
                </c:pt>
              </c:numCache>
            </c:numRef>
          </c:val>
          <c:extLst>
            <c:ext xmlns:c16="http://schemas.microsoft.com/office/drawing/2014/chart" uri="{C3380CC4-5D6E-409C-BE32-E72D297353CC}">
              <c16:uniqueId val="{00000000-1874-4E3C-AA10-C94B7CB78D80}"/>
            </c:ext>
          </c:extLst>
        </c:ser>
        <c:dLbls>
          <c:dLblPos val="outEnd"/>
          <c:showLegendKey val="0"/>
          <c:showVal val="1"/>
          <c:showCatName val="0"/>
          <c:showSerName val="0"/>
          <c:showPercent val="0"/>
          <c:showBubbleSize val="0"/>
        </c:dLbls>
        <c:gapWidth val="150"/>
        <c:axId val="14692543"/>
        <c:axId val="14701695"/>
      </c:barChart>
      <c:catAx>
        <c:axId val="1469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1695"/>
        <c:crosses val="autoZero"/>
        <c:auto val="1"/>
        <c:lblAlgn val="ctr"/>
        <c:lblOffset val="100"/>
        <c:noMultiLvlLbl val="0"/>
      </c:catAx>
      <c:valAx>
        <c:axId val="1470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Average</a:t>
            </a:r>
            <a:r>
              <a:rPr lang="en-US" sz="1200" baseline="0">
                <a:latin typeface="Times New Roman" panose="02020603050405020304" pitchFamily="18" charset="0"/>
                <a:cs typeface="Times New Roman" panose="02020603050405020304" pitchFamily="18" charset="0"/>
              </a:rPr>
              <a:t> Unit Price per product</a:t>
            </a:r>
            <a:endParaRPr lang="en-US" sz="12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1111111111111112E-2"/>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1111111111111112E-2"/>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1111111111111109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333333333333336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333333333333333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5.277777777777777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Sheet3!$B$635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0BA-4FB4-8585-E75EC34FDB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C0BA-4FB4-8585-E75EC34FDB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9A-4A8B-979B-786707AF2E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BA-4FB4-8585-E75EC34FDB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C0BA-4FB4-8585-E75EC34FDB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C0BA-4FB4-8585-E75EC34FDB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4-C0BA-4FB4-8585-E75EC34FDB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C0BA-4FB4-8585-E75EC34FDB7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79A-4A8B-979B-786707AF2E4D}"/>
              </c:ext>
            </c:extLst>
          </c:dPt>
          <c:dLbls>
            <c:dLbl>
              <c:idx val="0"/>
              <c:layout>
                <c:manualLayout>
                  <c:x val="1.1111111111111112E-2"/>
                  <c:y val="-7.40740740740740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0BA-4FB4-8585-E75EC34FDB75}"/>
                </c:ext>
              </c:extLst>
            </c:dLbl>
            <c:dLbl>
              <c:idx val="1"/>
              <c:layout>
                <c:manualLayout>
                  <c:x val="1.1111111111111112E-2"/>
                  <c:y val="-7.40740740740740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BA-4FB4-8585-E75EC34FDB75}"/>
                </c:ext>
              </c:extLst>
            </c:dLbl>
            <c:dLbl>
              <c:idx val="3"/>
              <c:layout>
                <c:manualLayout>
                  <c:x val="5.2777777777777778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0BA-4FB4-8585-E75EC34FDB75}"/>
                </c:ext>
              </c:extLst>
            </c:dLbl>
            <c:dLbl>
              <c:idx val="4"/>
              <c:layout>
                <c:manualLayout>
                  <c:x val="-3.3333333333333333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0BA-4FB4-8585-E75EC34FDB75}"/>
                </c:ext>
              </c:extLst>
            </c:dLbl>
            <c:dLbl>
              <c:idx val="5"/>
              <c:layout>
                <c:manualLayout>
                  <c:x val="-4.1666666666666664E-2"/>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0BA-4FB4-8585-E75EC34FDB75}"/>
                </c:ext>
              </c:extLst>
            </c:dLbl>
            <c:dLbl>
              <c:idx val="6"/>
              <c:layout>
                <c:manualLayout>
                  <c:x val="-3.3333333333333361E-2"/>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0BA-4FB4-8585-E75EC34FDB75}"/>
                </c:ext>
              </c:extLst>
            </c:dLbl>
            <c:dLbl>
              <c:idx val="7"/>
              <c:layout>
                <c:manualLayout>
                  <c:x val="-6.1111111111111109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BA-4FB4-8585-E75EC34FDB7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Sheet3!$A$636:$A$645</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Sheet3!$B$636:$B$645</c:f>
              <c:numCache>
                <c:formatCode>General</c:formatCode>
                <c:ptCount val="9"/>
                <c:pt idx="0">
                  <c:v>134386.55384615384</c:v>
                </c:pt>
                <c:pt idx="1">
                  <c:v>150674.52440677967</c:v>
                </c:pt>
                <c:pt idx="2">
                  <c:v>157109.94508771924</c:v>
                </c:pt>
                <c:pt idx="3">
                  <c:v>168806.10370786514</c:v>
                </c:pt>
                <c:pt idx="4">
                  <c:v>148867.81805970141</c:v>
                </c:pt>
                <c:pt idx="5">
                  <c:v>153068.32380281694</c:v>
                </c:pt>
                <c:pt idx="6">
                  <c:v>173245.04228070169</c:v>
                </c:pt>
                <c:pt idx="7">
                  <c:v>156660.46305882357</c:v>
                </c:pt>
              </c:numCache>
            </c:numRef>
          </c:val>
          <c:extLst>
            <c:ext xmlns:c16="http://schemas.microsoft.com/office/drawing/2014/chart" uri="{C3380CC4-5D6E-409C-BE32-E72D297353CC}">
              <c16:uniqueId val="{00000000-C0BA-4FB4-8585-E75EC34FDB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(Autosaved).xlsx]Sheet3!PivotTable8</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Sales Channel</a:t>
            </a:r>
            <a:endParaRPr lang="en-US"/>
          </a:p>
        </c:rich>
      </c:tx>
      <c:layout>
        <c:manualLayout>
          <c:xMode val="edge"/>
          <c:yMode val="edge"/>
          <c:x val="0.26750000000000007"/>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38C8"/>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338C8"/>
          </a:solidFill>
          <a:ln>
            <a:solidFill>
              <a:schemeClr val="bg1"/>
            </a:solidFill>
          </a:ln>
          <a:effectLst/>
        </c:spPr>
      </c:pivotFmt>
      <c:pivotFmt>
        <c:idx val="2"/>
        <c:spPr>
          <a:solidFill>
            <a:srgbClr val="B338C8"/>
          </a:solidFill>
          <a:ln>
            <a:solidFill>
              <a:srgbClr val="C00000"/>
            </a:solidFill>
          </a:ln>
          <a:effectLst/>
        </c:spPr>
        <c:dLbl>
          <c:idx val="0"/>
          <c:layout>
            <c:manualLayout>
              <c:x val="8.3333333333333332E-3"/>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Sheet3!$B$651</c:f>
              <c:strCache>
                <c:ptCount val="1"/>
                <c:pt idx="0">
                  <c:v>Total</c:v>
                </c:pt>
              </c:strCache>
            </c:strRef>
          </c:tx>
          <c:spPr>
            <a:solidFill>
              <a:srgbClr val="B338C8"/>
            </a:solidFill>
            <a:ln>
              <a:solidFill>
                <a:srgbClr val="C00000"/>
              </a:solidFill>
            </a:ln>
            <a:effectLst/>
          </c:spPr>
          <c:invertIfNegative val="0"/>
          <c:dPt>
            <c:idx val="0"/>
            <c:invertIfNegative val="0"/>
            <c:bubble3D val="0"/>
            <c:extLst>
              <c:ext xmlns:c16="http://schemas.microsoft.com/office/drawing/2014/chart" uri="{C3380CC4-5D6E-409C-BE32-E72D297353CC}">
                <c16:uniqueId val="{00000002-7FA4-43B0-A169-3D4D75C453A7}"/>
              </c:ext>
            </c:extLst>
          </c:dPt>
          <c:dPt>
            <c:idx val="3"/>
            <c:invertIfNegative val="0"/>
            <c:bubble3D val="0"/>
            <c:spPr>
              <a:solidFill>
                <a:srgbClr val="B338C8"/>
              </a:solidFill>
              <a:ln>
                <a:solidFill>
                  <a:schemeClr val="bg1"/>
                </a:solidFill>
              </a:ln>
              <a:effectLst/>
            </c:spPr>
            <c:extLst>
              <c:ext xmlns:c16="http://schemas.microsoft.com/office/drawing/2014/chart" uri="{C3380CC4-5D6E-409C-BE32-E72D297353CC}">
                <c16:uniqueId val="{00000001-7FA4-43B0-A169-3D4D75C453A7}"/>
              </c:ext>
            </c:extLst>
          </c:dPt>
          <c:dLbls>
            <c:dLbl>
              <c:idx val="0"/>
              <c:layout>
                <c:manualLayout>
                  <c:x val="8.3333333333333332E-3"/>
                  <c:y val="2.31481481481481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A4-43B0-A169-3D4D75C453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Sheet3!$A$652:$A$658</c:f>
              <c:strCache>
                <c:ptCount val="6"/>
                <c:pt idx="0">
                  <c:v>Direct</c:v>
                </c:pt>
                <c:pt idx="1">
                  <c:v>Online</c:v>
                </c:pt>
                <c:pt idx="2">
                  <c:v>Retail</c:v>
                </c:pt>
                <c:pt idx="3">
                  <c:v>Unkwown</c:v>
                </c:pt>
                <c:pt idx="4">
                  <c:v>Wholesale</c:v>
                </c:pt>
                <c:pt idx="5">
                  <c:v>(blank)</c:v>
                </c:pt>
              </c:strCache>
            </c:strRef>
          </c:cat>
          <c:val>
            <c:numRef>
              <c:f>Sheet3!$B$652:$B$658</c:f>
              <c:numCache>
                <c:formatCode>General</c:formatCode>
                <c:ptCount val="6"/>
                <c:pt idx="0">
                  <c:v>881755670.63999963</c:v>
                </c:pt>
                <c:pt idx="1">
                  <c:v>756889241.72200012</c:v>
                </c:pt>
                <c:pt idx="2">
                  <c:v>826194109.56799996</c:v>
                </c:pt>
                <c:pt idx="3">
                  <c:v>793444278.3779999</c:v>
                </c:pt>
                <c:pt idx="4">
                  <c:v>763752660.20000005</c:v>
                </c:pt>
              </c:numCache>
            </c:numRef>
          </c:val>
          <c:extLst>
            <c:ext xmlns:c16="http://schemas.microsoft.com/office/drawing/2014/chart" uri="{C3380CC4-5D6E-409C-BE32-E72D297353CC}">
              <c16:uniqueId val="{00000000-7FA4-43B0-A169-3D4D75C453A7}"/>
            </c:ext>
          </c:extLst>
        </c:ser>
        <c:dLbls>
          <c:dLblPos val="outEnd"/>
          <c:showLegendKey val="0"/>
          <c:showVal val="1"/>
          <c:showCatName val="0"/>
          <c:showSerName val="0"/>
          <c:showPercent val="0"/>
          <c:showBubbleSize val="0"/>
        </c:dLbls>
        <c:gapWidth val="219"/>
        <c:overlap val="-27"/>
        <c:axId val="1719185680"/>
        <c:axId val="1719196912"/>
      </c:barChart>
      <c:catAx>
        <c:axId val="17191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96912"/>
        <c:crosses val="autoZero"/>
        <c:auto val="1"/>
        <c:lblAlgn val="ctr"/>
        <c:lblOffset val="100"/>
        <c:noMultiLvlLbl val="0"/>
      </c:catAx>
      <c:valAx>
        <c:axId val="171919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8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dLbl>
          <c:idx val="0"/>
          <c:layout>
            <c:manualLayout>
              <c:x val="-1.0185067526415994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0008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00080"/>
          </a:solidFill>
          <a:ln>
            <a:noFill/>
          </a:ln>
          <a:effectLst/>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0080"/>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00080"/>
          </a:solidFill>
          <a:ln>
            <a:noFill/>
          </a:ln>
          <a:effectLst/>
        </c:spPr>
        <c:dLbl>
          <c:idx val="0"/>
          <c:layout>
            <c:manualLayout>
              <c:x val="-8.3333333333333332E-3"/>
              <c:y val="0.1296296296296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00080"/>
          </a:solidFill>
          <a:ln>
            <a:noFill/>
          </a:ln>
          <a:effectLst/>
        </c:spPr>
        <c:dLbl>
          <c:idx val="0"/>
          <c:layout>
            <c:manualLayout>
              <c:x val="-8.3333333333333332E-3"/>
              <c:y val="0.1296296296296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00080"/>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00080"/>
          </a:solidFill>
          <a:ln>
            <a:noFill/>
          </a:ln>
          <a:effectLst/>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0008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800080"/>
          </a:solidFill>
          <a:ln>
            <a:noFill/>
          </a:ln>
          <a:effectLst/>
        </c:spPr>
        <c:dLbl>
          <c:idx val="0"/>
          <c:layout>
            <c:manualLayout>
              <c:x val="-1.0185067526415994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00080"/>
          </a:solidFill>
          <a:ln>
            <a:noFill/>
          </a:ln>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0008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800080"/>
          </a:solidFill>
          <a:ln>
            <a:noFill/>
          </a:ln>
          <a:effectLst/>
        </c:spPr>
        <c:dLbl>
          <c:idx val="0"/>
          <c:layout>
            <c:manualLayout>
              <c:x val="-8.3333333333333332E-3"/>
              <c:y val="0.12962962962962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rgbClr val="800080"/>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rgbClr val="800080"/>
          </a:solidFill>
          <a:ln>
            <a:noFill/>
          </a:ln>
          <a:effectLst/>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800080"/>
          </a:solidFill>
          <a:ln>
            <a:no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800080"/>
          </a:solidFill>
          <a:ln>
            <a:noFill/>
          </a:ln>
          <a:effectLst/>
        </c:spPr>
        <c:dLbl>
          <c:idx val="0"/>
          <c:layout>
            <c:manualLayout>
              <c:x val="-1.0185067526415994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rgbClr val="800080"/>
          </a:solidFill>
          <a:ln>
            <a:noFill/>
          </a:ln>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c:f>
              <c:strCache>
                <c:ptCount val="1"/>
                <c:pt idx="0">
                  <c:v>Total</c:v>
                </c:pt>
              </c:strCache>
            </c:strRef>
          </c:tx>
          <c:spPr>
            <a:solidFill>
              <a:srgbClr val="800080"/>
            </a:solidFill>
            <a:ln>
              <a:noFill/>
            </a:ln>
            <a:effectLst/>
          </c:spPr>
          <c:invertIfNegative val="0"/>
          <c:dPt>
            <c:idx val="0"/>
            <c:invertIfNegative val="0"/>
            <c:bubble3D val="0"/>
            <c:extLst>
              <c:ext xmlns:c16="http://schemas.microsoft.com/office/drawing/2014/chart" uri="{C3380CC4-5D6E-409C-BE32-E72D297353CC}">
                <c16:uniqueId val="{00000001-A5A9-4D64-B9ED-1271F5228820}"/>
              </c:ext>
            </c:extLst>
          </c:dPt>
          <c:dPt>
            <c:idx val="1"/>
            <c:invertIfNegative val="0"/>
            <c:bubble3D val="0"/>
            <c:spPr>
              <a:solidFill>
                <a:srgbClr val="800080"/>
              </a:solidFill>
              <a:ln>
                <a:noFill/>
              </a:ln>
              <a:effectLst/>
            </c:spPr>
            <c:extLst>
              <c:ext xmlns:c16="http://schemas.microsoft.com/office/drawing/2014/chart" uri="{C3380CC4-5D6E-409C-BE32-E72D297353CC}">
                <c16:uniqueId val="{00000001-E238-4B27-9DF0-60AC17EB8A98}"/>
              </c:ext>
            </c:extLst>
          </c:dPt>
          <c:dPt>
            <c:idx val="2"/>
            <c:invertIfNegative val="0"/>
            <c:bubble3D val="0"/>
            <c:spPr>
              <a:solidFill>
                <a:srgbClr val="800080"/>
              </a:solidFill>
              <a:ln>
                <a:noFill/>
              </a:ln>
              <a:effectLst/>
            </c:spPr>
            <c:extLst>
              <c:ext xmlns:c16="http://schemas.microsoft.com/office/drawing/2014/chart" uri="{C3380CC4-5D6E-409C-BE32-E72D297353CC}">
                <c16:uniqueId val="{00000003-E238-4B27-9DF0-60AC17EB8A98}"/>
              </c:ext>
            </c:extLst>
          </c:dPt>
          <c:dPt>
            <c:idx val="3"/>
            <c:invertIfNegative val="0"/>
            <c:bubble3D val="0"/>
            <c:spPr>
              <a:solidFill>
                <a:srgbClr val="800080"/>
              </a:solidFill>
              <a:ln>
                <a:noFill/>
              </a:ln>
              <a:effectLst/>
            </c:spPr>
            <c:extLst>
              <c:ext xmlns:c16="http://schemas.microsoft.com/office/drawing/2014/chart" uri="{C3380CC4-5D6E-409C-BE32-E72D297353CC}">
                <c16:uniqueId val="{00000005-E238-4B27-9DF0-60AC17EB8A98}"/>
              </c:ext>
            </c:extLst>
          </c:dPt>
          <c:dPt>
            <c:idx val="4"/>
            <c:invertIfNegative val="0"/>
            <c:bubble3D val="0"/>
            <c:spPr>
              <a:solidFill>
                <a:srgbClr val="800080"/>
              </a:solidFill>
              <a:ln>
                <a:noFill/>
              </a:ln>
              <a:effectLst/>
            </c:spPr>
            <c:extLst>
              <c:ext xmlns:c16="http://schemas.microsoft.com/office/drawing/2014/chart" uri="{C3380CC4-5D6E-409C-BE32-E72D297353CC}">
                <c16:uniqueId val="{00000007-E238-4B27-9DF0-60AC17EB8A98}"/>
              </c:ext>
            </c:extLst>
          </c:dPt>
          <c:dPt>
            <c:idx val="5"/>
            <c:invertIfNegative val="0"/>
            <c:bubble3D val="0"/>
            <c:spPr>
              <a:solidFill>
                <a:srgbClr val="800080"/>
              </a:solidFill>
              <a:ln>
                <a:noFill/>
              </a:ln>
              <a:effectLst/>
            </c:spPr>
            <c:extLst>
              <c:ext xmlns:c16="http://schemas.microsoft.com/office/drawing/2014/chart" uri="{C3380CC4-5D6E-409C-BE32-E72D297353CC}">
                <c16:uniqueId val="{00000009-E238-4B27-9DF0-60AC17EB8A98}"/>
              </c:ext>
            </c:extLst>
          </c:dPt>
          <c:dPt>
            <c:idx val="6"/>
            <c:invertIfNegative val="0"/>
            <c:bubble3D val="0"/>
            <c:spPr>
              <a:solidFill>
                <a:srgbClr val="800080"/>
              </a:solidFill>
              <a:ln>
                <a:noFill/>
              </a:ln>
              <a:effectLst/>
            </c:spPr>
            <c:extLst>
              <c:ext xmlns:c16="http://schemas.microsoft.com/office/drawing/2014/chart" uri="{C3380CC4-5D6E-409C-BE32-E72D297353CC}">
                <c16:uniqueId val="{0000000B-E238-4B27-9DF0-60AC17EB8A98}"/>
              </c:ext>
            </c:extLst>
          </c:dPt>
          <c:dLbls>
            <c:dLbl>
              <c:idx val="1"/>
              <c:layout>
                <c:manualLayout>
                  <c:x val="-8.3333333333333332E-3"/>
                  <c:y val="0.12962962962962954"/>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238-4B27-9DF0-60AC17EB8A98}"/>
                </c:ext>
              </c:extLst>
            </c:dLbl>
            <c:dLbl>
              <c:idx val="2"/>
              <c:layout>
                <c:manualLayout>
                  <c:x val="0"/>
                  <c:y val="8.7962962962962965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E238-4B27-9DF0-60AC17EB8A98}"/>
                </c:ext>
              </c:extLst>
            </c:dLbl>
            <c:dLbl>
              <c:idx val="3"/>
              <c:layout>
                <c:manualLayout>
                  <c:x val="2.7777777777777779E-3"/>
                  <c:y val="4.166666666666666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E238-4B27-9DF0-60AC17EB8A98}"/>
                </c:ext>
              </c:extLst>
            </c:dLbl>
            <c:dLbl>
              <c:idx val="4"/>
              <c:layout>
                <c:manualLayout>
                  <c:x val="0"/>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E238-4B27-9DF0-60AC17EB8A98}"/>
                </c:ext>
              </c:extLst>
            </c:dLbl>
            <c:dLbl>
              <c:idx val="5"/>
              <c:layout>
                <c:manualLayout>
                  <c:x val="-1.0185067526415994E-16"/>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E238-4B27-9DF0-60AC17EB8A98}"/>
                </c:ext>
              </c:extLst>
            </c:dLbl>
            <c:dLbl>
              <c:idx val="6"/>
              <c:layout>
                <c:manualLayout>
                  <c:x val="-2.7777777777777779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E238-4B27-9DF0-60AC17EB8A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Sheet3!$B$4:$B$13</c:f>
              <c:numCache>
                <c:formatCode>General</c:formatCode>
                <c:ptCount val="9"/>
                <c:pt idx="0">
                  <c:v>383120692.32799995</c:v>
                </c:pt>
                <c:pt idx="1">
                  <c:v>400218895.69199979</c:v>
                </c:pt>
                <c:pt idx="2">
                  <c:v>433719672.64400005</c:v>
                </c:pt>
                <c:pt idx="3">
                  <c:v>733295436.03599989</c:v>
                </c:pt>
                <c:pt idx="4">
                  <c:v>441632935.6820001</c:v>
                </c:pt>
                <c:pt idx="5">
                  <c:v>488973408.79000014</c:v>
                </c:pt>
                <c:pt idx="6">
                  <c:v>507226303.21600002</c:v>
                </c:pt>
                <c:pt idx="7">
                  <c:v>633848616.12000012</c:v>
                </c:pt>
              </c:numCache>
            </c:numRef>
          </c:val>
          <c:extLst>
            <c:ext xmlns:c16="http://schemas.microsoft.com/office/drawing/2014/chart" uri="{C3380CC4-5D6E-409C-BE32-E72D297353CC}">
              <c16:uniqueId val="{0000000C-E238-4B27-9DF0-60AC17EB8A98}"/>
            </c:ext>
          </c:extLst>
        </c:ser>
        <c:dLbls>
          <c:dLblPos val="outEnd"/>
          <c:showLegendKey val="0"/>
          <c:showVal val="1"/>
          <c:showCatName val="0"/>
          <c:showSerName val="0"/>
          <c:showPercent val="0"/>
          <c:showBubbleSize val="0"/>
        </c:dLbls>
        <c:gapWidth val="219"/>
        <c:overlap val="-27"/>
        <c:axId val="2076459968"/>
        <c:axId val="2076464544"/>
      </c:barChart>
      <c:catAx>
        <c:axId val="207645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64544"/>
        <c:crosses val="autoZero"/>
        <c:auto val="1"/>
        <c:lblAlgn val="ctr"/>
        <c:lblOffset val="100"/>
        <c:noMultiLvlLbl val="0"/>
      </c:catAx>
      <c:valAx>
        <c:axId val="207646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59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(Autosaved).xlsx]Sheet3!PivotTable3</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a:t>Total Sales by State</a:t>
            </a:r>
          </a:p>
        </c:rich>
      </c:tx>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Sheet3!$B$20</c:f>
              <c:strCache>
                <c:ptCount val="1"/>
                <c:pt idx="0">
                  <c:v>Total</c:v>
                </c:pt>
              </c:strCache>
            </c:strRef>
          </c:tx>
          <c:spPr>
            <a:solidFill>
              <a:schemeClr val="accent1"/>
            </a:solidFill>
            <a:ln>
              <a:noFill/>
            </a:ln>
            <a:effectLst/>
          </c:spPr>
          <c:invertIfNegative val="0"/>
          <c:dLbls>
            <c:delete val="1"/>
          </c:dLbls>
          <c:cat>
            <c:strRef>
              <c:f>Sheet3!$A$21:$A$42</c:f>
              <c:strCache>
                <c:ptCount val="21"/>
                <c:pt idx="0">
                  <c:v>Abuja</c:v>
                </c:pt>
                <c:pt idx="1">
                  <c:v>Anambra</c:v>
                </c:pt>
                <c:pt idx="2">
                  <c:v>Bauchi</c:v>
                </c:pt>
                <c:pt idx="3">
                  <c:v>Benue</c:v>
                </c:pt>
                <c:pt idx="4">
                  <c:v>Borno</c:v>
                </c:pt>
                <c:pt idx="5">
                  <c:v>Cross River</c:v>
                </c:pt>
                <c:pt idx="6">
                  <c:v>Delta</c:v>
                </c:pt>
                <c:pt idx="7">
                  <c:v>Ekiti</c:v>
                </c:pt>
                <c:pt idx="8">
                  <c:v>Enugu</c:v>
                </c:pt>
                <c:pt idx="9">
                  <c:v>Imo</c:v>
                </c:pt>
                <c:pt idx="10">
                  <c:v>Kaduna</c:v>
                </c:pt>
                <c:pt idx="11">
                  <c:v>Kano</c:v>
                </c:pt>
                <c:pt idx="12">
                  <c:v>Katsina</c:v>
                </c:pt>
                <c:pt idx="13">
                  <c:v>Lagos</c:v>
                </c:pt>
                <c:pt idx="14">
                  <c:v>Niger</c:v>
                </c:pt>
                <c:pt idx="15">
                  <c:v>Osun</c:v>
                </c:pt>
                <c:pt idx="16">
                  <c:v>Oyo </c:v>
                </c:pt>
                <c:pt idx="17">
                  <c:v>Plateau</c:v>
                </c:pt>
                <c:pt idx="18">
                  <c:v>Rivers</c:v>
                </c:pt>
                <c:pt idx="19">
                  <c:v>Sokoto</c:v>
                </c:pt>
                <c:pt idx="20">
                  <c:v>(blank)</c:v>
                </c:pt>
              </c:strCache>
            </c:strRef>
          </c:cat>
          <c:val>
            <c:numRef>
              <c:f>Sheet3!$B$21:$B$42</c:f>
              <c:numCache>
                <c:formatCode>General</c:formatCode>
                <c:ptCount val="21"/>
                <c:pt idx="0">
                  <c:v>174913860.07600003</c:v>
                </c:pt>
                <c:pt idx="1">
                  <c:v>206751262.87999997</c:v>
                </c:pt>
                <c:pt idx="2">
                  <c:v>187723757.46399999</c:v>
                </c:pt>
                <c:pt idx="3">
                  <c:v>192388598.60399997</c:v>
                </c:pt>
                <c:pt idx="4">
                  <c:v>113959615.87999997</c:v>
                </c:pt>
                <c:pt idx="5">
                  <c:v>124796064.242</c:v>
                </c:pt>
                <c:pt idx="6">
                  <c:v>289175500.02000004</c:v>
                </c:pt>
                <c:pt idx="7">
                  <c:v>185610358.19399998</c:v>
                </c:pt>
                <c:pt idx="8">
                  <c:v>219173786.54599997</c:v>
                </c:pt>
                <c:pt idx="9">
                  <c:v>276541210.98800004</c:v>
                </c:pt>
                <c:pt idx="10">
                  <c:v>210406043.90400001</c:v>
                </c:pt>
                <c:pt idx="11">
                  <c:v>273679420.09799999</c:v>
                </c:pt>
                <c:pt idx="12">
                  <c:v>209587693.664</c:v>
                </c:pt>
                <c:pt idx="13">
                  <c:v>170809514.40799993</c:v>
                </c:pt>
                <c:pt idx="14">
                  <c:v>211004645.77400002</c:v>
                </c:pt>
                <c:pt idx="15">
                  <c:v>187114342.77199998</c:v>
                </c:pt>
                <c:pt idx="16">
                  <c:v>207793104.58200002</c:v>
                </c:pt>
                <c:pt idx="17">
                  <c:v>150061357.25</c:v>
                </c:pt>
                <c:pt idx="18">
                  <c:v>229303543.45599997</c:v>
                </c:pt>
                <c:pt idx="19">
                  <c:v>201242279.70599997</c:v>
                </c:pt>
              </c:numCache>
            </c:numRef>
          </c:val>
          <c:extLst>
            <c:ext xmlns:c16="http://schemas.microsoft.com/office/drawing/2014/chart" uri="{C3380CC4-5D6E-409C-BE32-E72D297353CC}">
              <c16:uniqueId val="{00000000-46E3-43A9-A5C6-BBEDA665A87D}"/>
            </c:ext>
          </c:extLst>
        </c:ser>
        <c:dLbls>
          <c:dLblPos val="outEnd"/>
          <c:showLegendKey val="0"/>
          <c:showVal val="1"/>
          <c:showCatName val="0"/>
          <c:showSerName val="0"/>
          <c:showPercent val="0"/>
          <c:showBubbleSize val="0"/>
        </c:dLbls>
        <c:gapWidth val="219"/>
        <c:overlap val="-27"/>
        <c:axId val="1416788624"/>
        <c:axId val="1416797360"/>
      </c:barChart>
      <c:catAx>
        <c:axId val="14167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97360"/>
        <c:crosses val="autoZero"/>
        <c:auto val="1"/>
        <c:lblAlgn val="ctr"/>
        <c:lblOffset val="100"/>
        <c:noMultiLvlLbl val="0"/>
      </c:catAx>
      <c:valAx>
        <c:axId val="141679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788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 Sales by</a:t>
            </a:r>
            <a:r>
              <a:rPr lang="en-US" sz="1200" baseline="0"/>
              <a:t> Customer</a:t>
            </a:r>
            <a:endParaRPr lang="en-US" sz="12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Sheet3!$B$63</c:f>
              <c:strCache>
                <c:ptCount val="1"/>
                <c:pt idx="0">
                  <c:v>Total</c:v>
                </c:pt>
              </c:strCache>
            </c:strRef>
          </c:tx>
          <c:spPr>
            <a:solidFill>
              <a:schemeClr val="accent1"/>
            </a:solidFill>
            <a:ln>
              <a:noFill/>
            </a:ln>
            <a:effectLst/>
          </c:spPr>
          <c:invertIfNegative val="0"/>
          <c:cat>
            <c:strRef>
              <c:f>Sheet3!$A$64:$A$572</c:f>
              <c:strCache>
                <c:ptCount val="508"/>
                <c:pt idx="0">
                  <c:v>Aaron Miller</c:v>
                </c:pt>
                <c:pt idx="1">
                  <c:v>Aaron Wise</c:v>
                </c:pt>
                <c:pt idx="2">
                  <c:v>Abigail Shaffer</c:v>
                </c:pt>
                <c:pt idx="3">
                  <c:v>Adam Burgess</c:v>
                </c:pt>
                <c:pt idx="4">
                  <c:v>Adam Vaughan</c:v>
                </c:pt>
                <c:pt idx="5">
                  <c:v>Aimee Montoya</c:v>
                </c:pt>
                <c:pt idx="6">
                  <c:v>Aimee Turner</c:v>
                </c:pt>
                <c:pt idx="7">
                  <c:v>Alex Hernandez</c:v>
                </c:pt>
                <c:pt idx="8">
                  <c:v>Alexander Brown</c:v>
                </c:pt>
                <c:pt idx="9">
                  <c:v>Alexander Collins</c:v>
                </c:pt>
                <c:pt idx="10">
                  <c:v>Alfred Galvan</c:v>
                </c:pt>
                <c:pt idx="11">
                  <c:v>Allen Rosales</c:v>
                </c:pt>
                <c:pt idx="12">
                  <c:v>Allison Hickman</c:v>
                </c:pt>
                <c:pt idx="13">
                  <c:v>Allison Hill</c:v>
                </c:pt>
                <c:pt idx="14">
                  <c:v>Allison Smith</c:v>
                </c:pt>
                <c:pt idx="15">
                  <c:v>Alyssa Day</c:v>
                </c:pt>
                <c:pt idx="16">
                  <c:v>Alyssa Long</c:v>
                </c:pt>
                <c:pt idx="17">
                  <c:v>Amanda Jones</c:v>
                </c:pt>
                <c:pt idx="18">
                  <c:v>Amber Kidd</c:v>
                </c:pt>
                <c:pt idx="19">
                  <c:v>Amber Obrien</c:v>
                </c:pt>
                <c:pt idx="20">
                  <c:v>Amber Wright</c:v>
                </c:pt>
                <c:pt idx="21">
                  <c:v>Amy Silva</c:v>
                </c:pt>
                <c:pt idx="22">
                  <c:v>Ana Hill</c:v>
                </c:pt>
                <c:pt idx="23">
                  <c:v>Andrea Hubbard</c:v>
                </c:pt>
                <c:pt idx="24">
                  <c:v>Andrew Avila</c:v>
                </c:pt>
                <c:pt idx="25">
                  <c:v>Andrew Reynolds</c:v>
                </c:pt>
                <c:pt idx="26">
                  <c:v>Angel Perry</c:v>
                </c:pt>
                <c:pt idx="27">
                  <c:v>Angela Lin</c:v>
                </c:pt>
                <c:pt idx="28">
                  <c:v>Angela Lopez</c:v>
                </c:pt>
                <c:pt idx="29">
                  <c:v>Angela Vaughn</c:v>
                </c:pt>
                <c:pt idx="30">
                  <c:v>Angelica Keith</c:v>
                </c:pt>
                <c:pt idx="31">
                  <c:v>Angelica Tucker</c:v>
                </c:pt>
                <c:pt idx="32">
                  <c:v>Angie Henderson</c:v>
                </c:pt>
                <c:pt idx="33">
                  <c:v>Anna Henderson</c:v>
                </c:pt>
                <c:pt idx="34">
                  <c:v>Anthony Everett</c:v>
                </c:pt>
                <c:pt idx="35">
                  <c:v>Anthony Harmon</c:v>
                </c:pt>
                <c:pt idx="36">
                  <c:v>Anthony Humphrey</c:v>
                </c:pt>
                <c:pt idx="37">
                  <c:v>Anthony Moore</c:v>
                </c:pt>
                <c:pt idx="38">
                  <c:v>Anthony Rodriguez</c:v>
                </c:pt>
                <c:pt idx="39">
                  <c:v>Anthony Romero</c:v>
                </c:pt>
                <c:pt idx="40">
                  <c:v>Antonio Garcia</c:v>
                </c:pt>
                <c:pt idx="41">
                  <c:v>April Frost</c:v>
                </c:pt>
                <c:pt idx="42">
                  <c:v>Ariana Jennings</c:v>
                </c:pt>
                <c:pt idx="43">
                  <c:v>Ashley Barton</c:v>
                </c:pt>
                <c:pt idx="44">
                  <c:v>Ashley Hall</c:v>
                </c:pt>
                <c:pt idx="45">
                  <c:v>Ashley Hicks</c:v>
                </c:pt>
                <c:pt idx="46">
                  <c:v>Ashley Waller</c:v>
                </c:pt>
                <c:pt idx="47">
                  <c:v>Ashley Wise</c:v>
                </c:pt>
                <c:pt idx="48">
                  <c:v>Austin Osborne</c:v>
                </c:pt>
                <c:pt idx="49">
                  <c:v>Bailey Duran DDS</c:v>
                </c:pt>
                <c:pt idx="50">
                  <c:v>Barbara Dudley</c:v>
                </c:pt>
                <c:pt idx="51">
                  <c:v>Benjamin Smith</c:v>
                </c:pt>
                <c:pt idx="52">
                  <c:v>Bobby Guerrero</c:v>
                </c:pt>
                <c:pt idx="53">
                  <c:v>Brandon Bailey MD</c:v>
                </c:pt>
                <c:pt idx="54">
                  <c:v>Brandon Fleming</c:v>
                </c:pt>
                <c:pt idx="55">
                  <c:v>Brandy Chavez</c:v>
                </c:pt>
                <c:pt idx="56">
                  <c:v>Brenda Hall</c:v>
                </c:pt>
                <c:pt idx="57">
                  <c:v>Brenda Thornton</c:v>
                </c:pt>
                <c:pt idx="58">
                  <c:v>Brenda Wright</c:v>
                </c:pt>
                <c:pt idx="59">
                  <c:v>Brent Jordan</c:v>
                </c:pt>
                <c:pt idx="60">
                  <c:v>Brett Burns</c:v>
                </c:pt>
                <c:pt idx="61">
                  <c:v>Brian Fitzgerald</c:v>
                </c:pt>
                <c:pt idx="62">
                  <c:v>Brian Lee</c:v>
                </c:pt>
                <c:pt idx="63">
                  <c:v>Brian Ramirez</c:v>
                </c:pt>
                <c:pt idx="64">
                  <c:v>Brian Rodriguez</c:v>
                </c:pt>
                <c:pt idx="65">
                  <c:v>Brian Smith</c:v>
                </c:pt>
                <c:pt idx="66">
                  <c:v>Briana Murray</c:v>
                </c:pt>
                <c:pt idx="67">
                  <c:v>Brittany Farmer</c:v>
                </c:pt>
                <c:pt idx="68">
                  <c:v>Brittany Kim</c:v>
                </c:pt>
                <c:pt idx="69">
                  <c:v>Brittney Phillips</c:v>
                </c:pt>
                <c:pt idx="70">
                  <c:v>Bryan Gomez</c:v>
                </c:pt>
                <c:pt idx="71">
                  <c:v>Bryan Herrera</c:v>
                </c:pt>
                <c:pt idx="72">
                  <c:v>Cameron Fisher</c:v>
                </c:pt>
                <c:pt idx="73">
                  <c:v>Cameron Parker</c:v>
                </c:pt>
                <c:pt idx="74">
                  <c:v>Carla Gray</c:v>
                </c:pt>
                <c:pt idx="75">
                  <c:v>Carlos Ryan</c:v>
                </c:pt>
                <c:pt idx="76">
                  <c:v>Carol Tucker</c:v>
                </c:pt>
                <c:pt idx="77">
                  <c:v>Carolyn Miller</c:v>
                </c:pt>
                <c:pt idx="78">
                  <c:v>Carrie Wright</c:v>
                </c:pt>
                <c:pt idx="79">
                  <c:v>Cassandra Gaines</c:v>
                </c:pt>
                <c:pt idx="80">
                  <c:v>Cathy Robinson</c:v>
                </c:pt>
                <c:pt idx="81">
                  <c:v>Chad Jones</c:v>
                </c:pt>
                <c:pt idx="82">
                  <c:v>Chad Scott</c:v>
                </c:pt>
                <c:pt idx="83">
                  <c:v>Charles Lester</c:v>
                </c:pt>
                <c:pt idx="84">
                  <c:v>Charles Schultz</c:v>
                </c:pt>
                <c:pt idx="85">
                  <c:v>Charles Shah</c:v>
                </c:pt>
                <c:pt idx="86">
                  <c:v>Cheyenne Horton</c:v>
                </c:pt>
                <c:pt idx="87">
                  <c:v>Christian Leblanc</c:v>
                </c:pt>
                <c:pt idx="88">
                  <c:v>Christina Walters</c:v>
                </c:pt>
                <c:pt idx="89">
                  <c:v>Christine Wright</c:v>
                </c:pt>
                <c:pt idx="90">
                  <c:v>Christopher Bass</c:v>
                </c:pt>
                <c:pt idx="91">
                  <c:v>Christopher Guerra</c:v>
                </c:pt>
                <c:pt idx="92">
                  <c:v>Christopher Parker</c:v>
                </c:pt>
                <c:pt idx="93">
                  <c:v>Christopher Rubio</c:v>
                </c:pt>
                <c:pt idx="94">
                  <c:v>Christopher Smith</c:v>
                </c:pt>
                <c:pt idx="95">
                  <c:v>Colin Terry</c:v>
                </c:pt>
                <c:pt idx="96">
                  <c:v>Colton Martinez</c:v>
                </c:pt>
                <c:pt idx="97">
                  <c:v>Connie Brown</c:v>
                </c:pt>
                <c:pt idx="98">
                  <c:v>Connie Lawrence</c:v>
                </c:pt>
                <c:pt idx="99">
                  <c:v>Connor West</c:v>
                </c:pt>
                <c:pt idx="100">
                  <c:v>Courtney Gonzalez</c:v>
                </c:pt>
                <c:pt idx="101">
                  <c:v>Courtney Hayes</c:v>
                </c:pt>
                <c:pt idx="102">
                  <c:v>Courtney Mills</c:v>
                </c:pt>
                <c:pt idx="103">
                  <c:v>Courtney Rodriguez</c:v>
                </c:pt>
                <c:pt idx="104">
                  <c:v>Craig Morrison</c:v>
                </c:pt>
                <c:pt idx="105">
                  <c:v>Cristian Santos</c:v>
                </c:pt>
                <c:pt idx="106">
                  <c:v>Crystal Johnson</c:v>
                </c:pt>
                <c:pt idx="107">
                  <c:v>Crystal Robinson</c:v>
                </c:pt>
                <c:pt idx="108">
                  <c:v>Curtis Williams</c:v>
                </c:pt>
                <c:pt idx="109">
                  <c:v>Cynthia Moore</c:v>
                </c:pt>
                <c:pt idx="110">
                  <c:v>Cynthia Morris</c:v>
                </c:pt>
                <c:pt idx="111">
                  <c:v>Cynthia Rowe</c:v>
                </c:pt>
                <c:pt idx="112">
                  <c:v>Cynthia Vang</c:v>
                </c:pt>
                <c:pt idx="113">
                  <c:v>Dana Chapman</c:v>
                </c:pt>
                <c:pt idx="114">
                  <c:v>Dana Martinez</c:v>
                </c:pt>
                <c:pt idx="115">
                  <c:v>Daniel Baker</c:v>
                </c:pt>
                <c:pt idx="116">
                  <c:v>Daniel Kane</c:v>
                </c:pt>
                <c:pt idx="117">
                  <c:v>Daniel Kennedy</c:v>
                </c:pt>
                <c:pt idx="118">
                  <c:v>Daniel Murphy</c:v>
                </c:pt>
                <c:pt idx="119">
                  <c:v>Daniel Salinas</c:v>
                </c:pt>
                <c:pt idx="120">
                  <c:v>Daniel Wagner</c:v>
                </c:pt>
                <c:pt idx="121">
                  <c:v>Danny Morgan</c:v>
                </c:pt>
                <c:pt idx="122">
                  <c:v>Darlene Miller</c:v>
                </c:pt>
                <c:pt idx="123">
                  <c:v>David Alvarez</c:v>
                </c:pt>
                <c:pt idx="124">
                  <c:v>David Davis</c:v>
                </c:pt>
                <c:pt idx="125">
                  <c:v>David Douglas Jr.</c:v>
                </c:pt>
                <c:pt idx="126">
                  <c:v>David Martinez</c:v>
                </c:pt>
                <c:pt idx="127">
                  <c:v>David Smith</c:v>
                </c:pt>
                <c:pt idx="128">
                  <c:v>David Thompson</c:v>
                </c:pt>
                <c:pt idx="129">
                  <c:v>David Wright</c:v>
                </c:pt>
                <c:pt idx="130">
                  <c:v>Dawn Mullins</c:v>
                </c:pt>
                <c:pt idx="131">
                  <c:v>Dawn Summers</c:v>
                </c:pt>
                <c:pt idx="132">
                  <c:v>Deborah Figueroa</c:v>
                </c:pt>
                <c:pt idx="133">
                  <c:v>Debra Christian</c:v>
                </c:pt>
                <c:pt idx="134">
                  <c:v>Debra Davidson</c:v>
                </c:pt>
                <c:pt idx="135">
                  <c:v>Debra Morton</c:v>
                </c:pt>
                <c:pt idx="136">
                  <c:v>Debra White</c:v>
                </c:pt>
                <c:pt idx="137">
                  <c:v>Denise Davenport</c:v>
                </c:pt>
                <c:pt idx="138">
                  <c:v>Denise Jacobs</c:v>
                </c:pt>
                <c:pt idx="139">
                  <c:v>Denise Jones</c:v>
                </c:pt>
                <c:pt idx="140">
                  <c:v>Denise Mccann</c:v>
                </c:pt>
                <c:pt idx="141">
                  <c:v>Derek Zuniga</c:v>
                </c:pt>
                <c:pt idx="142">
                  <c:v>Desiree Tyler</c:v>
                </c:pt>
                <c:pt idx="143">
                  <c:v>Devon Flores</c:v>
                </c:pt>
                <c:pt idx="144">
                  <c:v>Diana May</c:v>
                </c:pt>
                <c:pt idx="145">
                  <c:v>Diane Evans</c:v>
                </c:pt>
                <c:pt idx="146">
                  <c:v>Donald Wright</c:v>
                </c:pt>
                <c:pt idx="147">
                  <c:v>Donna Landry</c:v>
                </c:pt>
                <c:pt idx="148">
                  <c:v>Douglas Gregory</c:v>
                </c:pt>
                <c:pt idx="149">
                  <c:v>Dr. Hannah Patterson</c:v>
                </c:pt>
                <c:pt idx="150">
                  <c:v>Dr. Paul Morgan</c:v>
                </c:pt>
                <c:pt idx="151">
                  <c:v>Dr. William Warren</c:v>
                </c:pt>
                <c:pt idx="152">
                  <c:v>Dustin Gallegos</c:v>
                </c:pt>
                <c:pt idx="153">
                  <c:v>Dustin Jordan</c:v>
                </c:pt>
                <c:pt idx="154">
                  <c:v>Dylan Miller</c:v>
                </c:pt>
                <c:pt idx="155">
                  <c:v>Edward Burgess</c:v>
                </c:pt>
                <c:pt idx="156">
                  <c:v>Elaine Brooks</c:v>
                </c:pt>
                <c:pt idx="157">
                  <c:v>Elizabeth Fowler</c:v>
                </c:pt>
                <c:pt idx="158">
                  <c:v>Elizabeth Kelley</c:v>
                </c:pt>
                <c:pt idx="159">
                  <c:v>Elizabeth Oliver DDS</c:v>
                </c:pt>
                <c:pt idx="160">
                  <c:v>Elizabeth Perkins</c:v>
                </c:pt>
                <c:pt idx="161">
                  <c:v>Ellen Morgan</c:v>
                </c:pt>
                <c:pt idx="162">
                  <c:v>Emily Bennett</c:v>
                </c:pt>
                <c:pt idx="163">
                  <c:v>Eric Carney</c:v>
                </c:pt>
                <c:pt idx="164">
                  <c:v>Eric Williams</c:v>
                </c:pt>
                <c:pt idx="165">
                  <c:v>Erica Alvarez</c:v>
                </c:pt>
                <c:pt idx="166">
                  <c:v>Erin Edwards</c:v>
                </c:pt>
                <c:pt idx="167">
                  <c:v>Erin Warner</c:v>
                </c:pt>
                <c:pt idx="168">
                  <c:v>Ethan Adams</c:v>
                </c:pt>
                <c:pt idx="169">
                  <c:v>Evelyn Galvan</c:v>
                </c:pt>
                <c:pt idx="170">
                  <c:v>Evelyn Martinez</c:v>
                </c:pt>
                <c:pt idx="171">
                  <c:v>Evelyn Williams</c:v>
                </c:pt>
                <c:pt idx="172">
                  <c:v>Felicia Aguilar</c:v>
                </c:pt>
                <c:pt idx="173">
                  <c:v>Frank Cordova</c:v>
                </c:pt>
                <c:pt idx="174">
                  <c:v>Fred Smith</c:v>
                </c:pt>
                <c:pt idx="175">
                  <c:v>Gabrielle Davis</c:v>
                </c:pt>
                <c:pt idx="176">
                  <c:v>Garrett Lin</c:v>
                </c:pt>
                <c:pt idx="177">
                  <c:v>Gary Jackson</c:v>
                </c:pt>
                <c:pt idx="178">
                  <c:v>George Harper</c:v>
                </c:pt>
                <c:pt idx="179">
                  <c:v>Gerald Hensley</c:v>
                </c:pt>
                <c:pt idx="180">
                  <c:v>Gina Moore</c:v>
                </c:pt>
                <c:pt idx="181">
                  <c:v>Glen Wood</c:v>
                </c:pt>
                <c:pt idx="182">
                  <c:v>Gregory Ponce</c:v>
                </c:pt>
                <c:pt idx="183">
                  <c:v>Gwendolyn Klein</c:v>
                </c:pt>
                <c:pt idx="184">
                  <c:v>Hannah Luna</c:v>
                </c:pt>
                <c:pt idx="185">
                  <c:v>Heather Bolton</c:v>
                </c:pt>
                <c:pt idx="186">
                  <c:v>Heather Fields</c:v>
                </c:pt>
                <c:pt idx="187">
                  <c:v>Heather Williams</c:v>
                </c:pt>
                <c:pt idx="188">
                  <c:v>Helen Jones</c:v>
                </c:pt>
                <c:pt idx="189">
                  <c:v>Holly Farmer</c:v>
                </c:pt>
                <c:pt idx="190">
                  <c:v>Holly Valentine</c:v>
                </c:pt>
                <c:pt idx="191">
                  <c:v>Holly Wood</c:v>
                </c:pt>
                <c:pt idx="192">
                  <c:v>Howard Norman</c:v>
                </c:pt>
                <c:pt idx="193">
                  <c:v>Isaiah Avila</c:v>
                </c:pt>
                <c:pt idx="194">
                  <c:v>Jack White</c:v>
                </c:pt>
                <c:pt idx="195">
                  <c:v>Jake Campbell</c:v>
                </c:pt>
                <c:pt idx="196">
                  <c:v>James Bradley</c:v>
                </c:pt>
                <c:pt idx="197">
                  <c:v>James Brown</c:v>
                </c:pt>
                <c:pt idx="198">
                  <c:v>James Ferrell</c:v>
                </c:pt>
                <c:pt idx="199">
                  <c:v>James Padilla</c:v>
                </c:pt>
                <c:pt idx="200">
                  <c:v>James Parks</c:v>
                </c:pt>
                <c:pt idx="201">
                  <c:v>Jamie Arnold</c:v>
                </c:pt>
                <c:pt idx="202">
                  <c:v>Jamie Smith</c:v>
                </c:pt>
                <c:pt idx="203">
                  <c:v>Jamie Walton</c:v>
                </c:pt>
                <c:pt idx="204">
                  <c:v>Jasmin Alvarado</c:v>
                </c:pt>
                <c:pt idx="205">
                  <c:v>Jasmine Beltran</c:v>
                </c:pt>
                <c:pt idx="206">
                  <c:v>Jason Beck</c:v>
                </c:pt>
                <c:pt idx="207">
                  <c:v>Jason Powell</c:v>
                </c:pt>
                <c:pt idx="208">
                  <c:v>Jason Rhodes</c:v>
                </c:pt>
                <c:pt idx="209">
                  <c:v>Jason Stein</c:v>
                </c:pt>
                <c:pt idx="210">
                  <c:v>Jeanette Harrison</c:v>
                </c:pt>
                <c:pt idx="211">
                  <c:v>Jeffery Ortega</c:v>
                </c:pt>
                <c:pt idx="212">
                  <c:v>Jeffrey Chandler</c:v>
                </c:pt>
                <c:pt idx="213">
                  <c:v>Jeffrey Chavez</c:v>
                </c:pt>
                <c:pt idx="214">
                  <c:v>Jeffrey Johnson</c:v>
                </c:pt>
                <c:pt idx="215">
                  <c:v>Jeffrey Mendez</c:v>
                </c:pt>
                <c:pt idx="216">
                  <c:v>Jeffrey Mills</c:v>
                </c:pt>
                <c:pt idx="217">
                  <c:v>Jenna Larson</c:v>
                </c:pt>
                <c:pt idx="218">
                  <c:v>Jennifer Adkins</c:v>
                </c:pt>
                <c:pt idx="219">
                  <c:v>Jennifer Banks</c:v>
                </c:pt>
                <c:pt idx="220">
                  <c:v>Jennifer Collins</c:v>
                </c:pt>
                <c:pt idx="221">
                  <c:v>Jeremy Dalton</c:v>
                </c:pt>
                <c:pt idx="222">
                  <c:v>Jeremy Mitchell</c:v>
                </c:pt>
                <c:pt idx="223">
                  <c:v>Jeremy Reed</c:v>
                </c:pt>
                <c:pt idx="224">
                  <c:v>Jeremy Sampson</c:v>
                </c:pt>
                <c:pt idx="225">
                  <c:v>Jeremy Turner</c:v>
                </c:pt>
                <c:pt idx="226">
                  <c:v>Jesse Brown</c:v>
                </c:pt>
                <c:pt idx="227">
                  <c:v>Jesse Perez</c:v>
                </c:pt>
                <c:pt idx="228">
                  <c:v>Jesse Perry</c:v>
                </c:pt>
                <c:pt idx="229">
                  <c:v>Jessica Callahan</c:v>
                </c:pt>
                <c:pt idx="230">
                  <c:v>Jessica Garcia</c:v>
                </c:pt>
                <c:pt idx="231">
                  <c:v>Jessica Gross</c:v>
                </c:pt>
                <c:pt idx="232">
                  <c:v>Jessica Holmes</c:v>
                </c:pt>
                <c:pt idx="233">
                  <c:v>Jessica Smith</c:v>
                </c:pt>
                <c:pt idx="234">
                  <c:v>Jessica Stephens</c:v>
                </c:pt>
                <c:pt idx="235">
                  <c:v>Joann Ferguson</c:v>
                </c:pt>
                <c:pt idx="236">
                  <c:v>Joann Glass</c:v>
                </c:pt>
                <c:pt idx="237">
                  <c:v>Joanna Pacheco</c:v>
                </c:pt>
                <c:pt idx="238">
                  <c:v>Jodi Roach</c:v>
                </c:pt>
                <c:pt idx="239">
                  <c:v>Joel Williams</c:v>
                </c:pt>
                <c:pt idx="240">
                  <c:v>John Anderson</c:v>
                </c:pt>
                <c:pt idx="241">
                  <c:v>John Bishop</c:v>
                </c:pt>
                <c:pt idx="242">
                  <c:v>John Daniel</c:v>
                </c:pt>
                <c:pt idx="243">
                  <c:v>John Pierce</c:v>
                </c:pt>
                <c:pt idx="244">
                  <c:v>John Whitehead</c:v>
                </c:pt>
                <c:pt idx="245">
                  <c:v>John Young</c:v>
                </c:pt>
                <c:pt idx="246">
                  <c:v>Johnathan Davis</c:v>
                </c:pt>
                <c:pt idx="247">
                  <c:v>Jonathan Glass MD</c:v>
                </c:pt>
                <c:pt idx="248">
                  <c:v>Jonathan Lawrence</c:v>
                </c:pt>
                <c:pt idx="249">
                  <c:v>Jonathan Peterson</c:v>
                </c:pt>
                <c:pt idx="250">
                  <c:v>Jordan Bates</c:v>
                </c:pt>
                <c:pt idx="251">
                  <c:v>Jordan Chambers</c:v>
                </c:pt>
                <c:pt idx="252">
                  <c:v>Jordan Henderson</c:v>
                </c:pt>
                <c:pt idx="253">
                  <c:v>Jose Allen</c:v>
                </c:pt>
                <c:pt idx="254">
                  <c:v>Jose Schultz</c:v>
                </c:pt>
                <c:pt idx="255">
                  <c:v>Jose Travis</c:v>
                </c:pt>
                <c:pt idx="256">
                  <c:v>Joseph Coleman</c:v>
                </c:pt>
                <c:pt idx="257">
                  <c:v>Joseph Knight</c:v>
                </c:pt>
                <c:pt idx="258">
                  <c:v>Joshua Blair</c:v>
                </c:pt>
                <c:pt idx="259">
                  <c:v>Joshua Cooke</c:v>
                </c:pt>
                <c:pt idx="260">
                  <c:v>Joshua Perry</c:v>
                </c:pt>
                <c:pt idx="261">
                  <c:v>Joshua Reed</c:v>
                </c:pt>
                <c:pt idx="262">
                  <c:v>Joyce Bowen</c:v>
                </c:pt>
                <c:pt idx="263">
                  <c:v>Joyce Solis</c:v>
                </c:pt>
                <c:pt idx="264">
                  <c:v>Judith Carter</c:v>
                </c:pt>
                <c:pt idx="265">
                  <c:v>Judy Baker</c:v>
                </c:pt>
                <c:pt idx="266">
                  <c:v>Julia Torres</c:v>
                </c:pt>
                <c:pt idx="267">
                  <c:v>Julian Conner</c:v>
                </c:pt>
                <c:pt idx="268">
                  <c:v>Julie Alexander</c:v>
                </c:pt>
                <c:pt idx="269">
                  <c:v>Julie Dominguez</c:v>
                </c:pt>
                <c:pt idx="270">
                  <c:v>Justin Baker</c:v>
                </c:pt>
                <c:pt idx="271">
                  <c:v>Justin Torres</c:v>
                </c:pt>
                <c:pt idx="272">
                  <c:v>Karen Graham</c:v>
                </c:pt>
                <c:pt idx="273">
                  <c:v>Karla Ramos</c:v>
                </c:pt>
                <c:pt idx="274">
                  <c:v>Katherine Martinez</c:v>
                </c:pt>
                <c:pt idx="275">
                  <c:v>Katherine Salas</c:v>
                </c:pt>
                <c:pt idx="276">
                  <c:v>Kathleen Moran</c:v>
                </c:pt>
                <c:pt idx="277">
                  <c:v>Kathleen Webster</c:v>
                </c:pt>
                <c:pt idx="278">
                  <c:v>Kathryn Snyder</c:v>
                </c:pt>
                <c:pt idx="279">
                  <c:v>Kathy Rivas</c:v>
                </c:pt>
                <c:pt idx="280">
                  <c:v>Katie Mcneil</c:v>
                </c:pt>
                <c:pt idx="281">
                  <c:v>Katie Suarez</c:v>
                </c:pt>
                <c:pt idx="282">
                  <c:v>Kayla Rodriguez</c:v>
                </c:pt>
                <c:pt idx="283">
                  <c:v>Kaylee Hays</c:v>
                </c:pt>
                <c:pt idx="284">
                  <c:v>Keith Jennings</c:v>
                </c:pt>
                <c:pt idx="285">
                  <c:v>Kelly Donovan</c:v>
                </c:pt>
                <c:pt idx="286">
                  <c:v>Kelsey Rodriguez</c:v>
                </c:pt>
                <c:pt idx="287">
                  <c:v>Kenneth Lewis</c:v>
                </c:pt>
                <c:pt idx="288">
                  <c:v>Kenneth Scott</c:v>
                </c:pt>
                <c:pt idx="289">
                  <c:v>Kerry Chavez DDS</c:v>
                </c:pt>
                <c:pt idx="290">
                  <c:v>Kevin Oconnor</c:v>
                </c:pt>
                <c:pt idx="291">
                  <c:v>Kevin Walters</c:v>
                </c:pt>
                <c:pt idx="292">
                  <c:v>Kiara Mcintyre</c:v>
                </c:pt>
                <c:pt idx="293">
                  <c:v>Kimberly Gibson</c:v>
                </c:pt>
                <c:pt idx="294">
                  <c:v>Kimberly Gutierrez</c:v>
                </c:pt>
                <c:pt idx="295">
                  <c:v>Kimberly Nguyen</c:v>
                </c:pt>
                <c:pt idx="296">
                  <c:v>Kirk Carter</c:v>
                </c:pt>
                <c:pt idx="297">
                  <c:v>Krista Gibson</c:v>
                </c:pt>
                <c:pt idx="298">
                  <c:v>Kristen Davis</c:v>
                </c:pt>
                <c:pt idx="299">
                  <c:v>Lance Simmons</c:v>
                </c:pt>
                <c:pt idx="300">
                  <c:v>Larry Dixon</c:v>
                </c:pt>
                <c:pt idx="301">
                  <c:v>Laura Haney</c:v>
                </c:pt>
                <c:pt idx="302">
                  <c:v>Laura Mckinney</c:v>
                </c:pt>
                <c:pt idx="303">
                  <c:v>Laura Roberts</c:v>
                </c:pt>
                <c:pt idx="304">
                  <c:v>Lauren Carson</c:v>
                </c:pt>
                <c:pt idx="305">
                  <c:v>Lauren Daniels</c:v>
                </c:pt>
                <c:pt idx="306">
                  <c:v>Laurie Hoffman</c:v>
                </c:pt>
                <c:pt idx="307">
                  <c:v>Lawrence Adkins</c:v>
                </c:pt>
                <c:pt idx="308">
                  <c:v>Lawrence Harrington</c:v>
                </c:pt>
                <c:pt idx="309">
                  <c:v>Linda Smith</c:v>
                </c:pt>
                <c:pt idx="310">
                  <c:v>Lindsay Martinez</c:v>
                </c:pt>
                <c:pt idx="311">
                  <c:v>Lindsey Walker</c:v>
                </c:pt>
                <c:pt idx="312">
                  <c:v>Lisa Allen</c:v>
                </c:pt>
                <c:pt idx="313">
                  <c:v>Lisa Archer</c:v>
                </c:pt>
                <c:pt idx="314">
                  <c:v>Lisa Barnes</c:v>
                </c:pt>
                <c:pt idx="315">
                  <c:v>Lisa Hensley</c:v>
                </c:pt>
                <c:pt idx="316">
                  <c:v>Lisa Hunter</c:v>
                </c:pt>
                <c:pt idx="317">
                  <c:v>Lisa Jackson</c:v>
                </c:pt>
                <c:pt idx="318">
                  <c:v>Lori Guerrero</c:v>
                </c:pt>
                <c:pt idx="319">
                  <c:v>Lori Hernandez</c:v>
                </c:pt>
                <c:pt idx="320">
                  <c:v>Lori Ingram</c:v>
                </c:pt>
                <c:pt idx="321">
                  <c:v>Madison Poole</c:v>
                </c:pt>
                <c:pt idx="322">
                  <c:v>Madison Weber</c:v>
                </c:pt>
                <c:pt idx="323">
                  <c:v>Marc Moore</c:v>
                </c:pt>
                <c:pt idx="324">
                  <c:v>Margaret Coleman</c:v>
                </c:pt>
                <c:pt idx="325">
                  <c:v>Margaret Hawkins DDS</c:v>
                </c:pt>
                <c:pt idx="326">
                  <c:v>Maria Henderson</c:v>
                </c:pt>
                <c:pt idx="327">
                  <c:v>Maria Jones</c:v>
                </c:pt>
                <c:pt idx="328">
                  <c:v>Maria Parker</c:v>
                </c:pt>
                <c:pt idx="329">
                  <c:v>Marie Christian</c:v>
                </c:pt>
                <c:pt idx="330">
                  <c:v>Marie Moody</c:v>
                </c:pt>
                <c:pt idx="331">
                  <c:v>Mark Brown</c:v>
                </c:pt>
                <c:pt idx="332">
                  <c:v>Mark Cox</c:v>
                </c:pt>
                <c:pt idx="333">
                  <c:v>Mark Perez</c:v>
                </c:pt>
                <c:pt idx="334">
                  <c:v>Mary Escobar</c:v>
                </c:pt>
                <c:pt idx="335">
                  <c:v>Mary Marshall</c:v>
                </c:pt>
                <c:pt idx="336">
                  <c:v>Mary Thompson</c:v>
                </c:pt>
                <c:pt idx="337">
                  <c:v>Matthew Foster</c:v>
                </c:pt>
                <c:pt idx="338">
                  <c:v>Matthew Harrington</c:v>
                </c:pt>
                <c:pt idx="339">
                  <c:v>Matthew Mcmillan</c:v>
                </c:pt>
                <c:pt idx="340">
                  <c:v>Matthew Moon</c:v>
                </c:pt>
                <c:pt idx="341">
                  <c:v>Matthew Moore</c:v>
                </c:pt>
                <c:pt idx="342">
                  <c:v>Megan Le</c:v>
                </c:pt>
                <c:pt idx="343">
                  <c:v>Megan Nelson</c:v>
                </c:pt>
                <c:pt idx="344">
                  <c:v>Megan Orr</c:v>
                </c:pt>
                <c:pt idx="345">
                  <c:v>Megan Young</c:v>
                </c:pt>
                <c:pt idx="346">
                  <c:v>Meghan Cisneros</c:v>
                </c:pt>
                <c:pt idx="347">
                  <c:v>Meghan Rush</c:v>
                </c:pt>
                <c:pt idx="348">
                  <c:v>Melissa Brewer</c:v>
                </c:pt>
                <c:pt idx="349">
                  <c:v>Melissa Gates</c:v>
                </c:pt>
                <c:pt idx="350">
                  <c:v>Melissa Martinez</c:v>
                </c:pt>
                <c:pt idx="351">
                  <c:v>Michael Bradshaw</c:v>
                </c:pt>
                <c:pt idx="352">
                  <c:v>Michael Elliott</c:v>
                </c:pt>
                <c:pt idx="353">
                  <c:v>Michael Evans</c:v>
                </c:pt>
                <c:pt idx="354">
                  <c:v>Michael Farrell</c:v>
                </c:pt>
                <c:pt idx="355">
                  <c:v>Michael Lewis</c:v>
                </c:pt>
                <c:pt idx="356">
                  <c:v>Michael Lyons</c:v>
                </c:pt>
                <c:pt idx="357">
                  <c:v>Michael Mitchell</c:v>
                </c:pt>
                <c:pt idx="358">
                  <c:v>Michael Powell</c:v>
                </c:pt>
                <c:pt idx="359">
                  <c:v>Michael Wang</c:v>
                </c:pt>
                <c:pt idx="360">
                  <c:v>Michael Warner</c:v>
                </c:pt>
                <c:pt idx="361">
                  <c:v>Michele Williams</c:v>
                </c:pt>
                <c:pt idx="362">
                  <c:v>Michelle Brown</c:v>
                </c:pt>
                <c:pt idx="363">
                  <c:v>Michelle Evans</c:v>
                </c:pt>
                <c:pt idx="364">
                  <c:v>Michelle Harmon</c:v>
                </c:pt>
                <c:pt idx="365">
                  <c:v>Mike Allen</c:v>
                </c:pt>
                <c:pt idx="366">
                  <c:v>Monica Herrera</c:v>
                </c:pt>
                <c:pt idx="367">
                  <c:v>Monica Miller</c:v>
                </c:pt>
                <c:pt idx="368">
                  <c:v>Mr. Andrew Foster</c:v>
                </c:pt>
                <c:pt idx="369">
                  <c:v>Mr. Justin Green III</c:v>
                </c:pt>
                <c:pt idx="370">
                  <c:v>Mrs. Diane Reyes</c:v>
                </c:pt>
                <c:pt idx="371">
                  <c:v>Mrs. Kristen Reyes</c:v>
                </c:pt>
                <c:pt idx="372">
                  <c:v>Nancy Jennings</c:v>
                </c:pt>
                <c:pt idx="373">
                  <c:v>Natalie Bautista</c:v>
                </c:pt>
                <c:pt idx="374">
                  <c:v>Nathan Freeman</c:v>
                </c:pt>
                <c:pt idx="375">
                  <c:v>Nathan Maldonado</c:v>
                </c:pt>
                <c:pt idx="376">
                  <c:v>Nathan Malone</c:v>
                </c:pt>
                <c:pt idx="377">
                  <c:v>Nichole Alvarez</c:v>
                </c:pt>
                <c:pt idx="378">
                  <c:v>Nicole Herring</c:v>
                </c:pt>
                <c:pt idx="379">
                  <c:v>Nicole Parrish</c:v>
                </c:pt>
                <c:pt idx="380">
                  <c:v>Noah Rhodes</c:v>
                </c:pt>
                <c:pt idx="381">
                  <c:v>Olivia Harris</c:v>
                </c:pt>
                <c:pt idx="382">
                  <c:v>Pamela Boyd</c:v>
                </c:pt>
                <c:pt idx="383">
                  <c:v>Parker Cain</c:v>
                </c:pt>
                <c:pt idx="384">
                  <c:v>Patricia Le</c:v>
                </c:pt>
                <c:pt idx="385">
                  <c:v>Patricia Rodriguez</c:v>
                </c:pt>
                <c:pt idx="386">
                  <c:v>Patrick Moore</c:v>
                </c:pt>
                <c:pt idx="387">
                  <c:v>Patrick Thornton</c:v>
                </c:pt>
                <c:pt idx="388">
                  <c:v>Patty Perez</c:v>
                </c:pt>
                <c:pt idx="389">
                  <c:v>Paul Castaneda</c:v>
                </c:pt>
                <c:pt idx="390">
                  <c:v>Paul Jones</c:v>
                </c:pt>
                <c:pt idx="391">
                  <c:v>Paul Lewis</c:v>
                </c:pt>
                <c:pt idx="392">
                  <c:v>Paul Wilson</c:v>
                </c:pt>
                <c:pt idx="393">
                  <c:v>Paula Bradley</c:v>
                </c:pt>
                <c:pt idx="394">
                  <c:v>Paula Moreno</c:v>
                </c:pt>
                <c:pt idx="395">
                  <c:v>Philip Cannon</c:v>
                </c:pt>
                <c:pt idx="396">
                  <c:v>Phillip Berry</c:v>
                </c:pt>
                <c:pt idx="397">
                  <c:v>Phillip Nelson</c:v>
                </c:pt>
                <c:pt idx="398">
                  <c:v>Ralph Anderson</c:v>
                </c:pt>
                <c:pt idx="399">
                  <c:v>Rebecca Henderson</c:v>
                </c:pt>
                <c:pt idx="400">
                  <c:v>Rebecca Jackson</c:v>
                </c:pt>
                <c:pt idx="401">
                  <c:v>Rebecca Valencia</c:v>
                </c:pt>
                <c:pt idx="402">
                  <c:v>Renee Bruce</c:v>
                </c:pt>
                <c:pt idx="403">
                  <c:v>Rhonda Martin</c:v>
                </c:pt>
                <c:pt idx="404">
                  <c:v>Richard Aguirre</c:v>
                </c:pt>
                <c:pt idx="405">
                  <c:v>Richard Cooper</c:v>
                </c:pt>
                <c:pt idx="406">
                  <c:v>Richard Henson</c:v>
                </c:pt>
                <c:pt idx="407">
                  <c:v>Richard Rodriguez</c:v>
                </c:pt>
                <c:pt idx="408">
                  <c:v>Richard Smith</c:v>
                </c:pt>
                <c:pt idx="409">
                  <c:v>Ricky Davis II</c:v>
                </c:pt>
                <c:pt idx="410">
                  <c:v>Riley Bryant</c:v>
                </c:pt>
                <c:pt idx="411">
                  <c:v>Robert Harrison</c:v>
                </c:pt>
                <c:pt idx="412">
                  <c:v>Robert Montgomery</c:v>
                </c:pt>
                <c:pt idx="413">
                  <c:v>Robert Oconnell</c:v>
                </c:pt>
                <c:pt idx="414">
                  <c:v>Robert Potter</c:v>
                </c:pt>
                <c:pt idx="415">
                  <c:v>Robin Brown</c:v>
                </c:pt>
                <c:pt idx="416">
                  <c:v>Robin Santiago</c:v>
                </c:pt>
                <c:pt idx="417">
                  <c:v>Robin Thompson</c:v>
                </c:pt>
                <c:pt idx="418">
                  <c:v>Robin Young</c:v>
                </c:pt>
                <c:pt idx="419">
                  <c:v>Rodney Morales</c:v>
                </c:pt>
                <c:pt idx="420">
                  <c:v>Ronald Davis</c:v>
                </c:pt>
                <c:pt idx="421">
                  <c:v>Ruben Dunn</c:v>
                </c:pt>
                <c:pt idx="422">
                  <c:v>Ryan Gonzalez</c:v>
                </c:pt>
                <c:pt idx="423">
                  <c:v>Ryan Munoz</c:v>
                </c:pt>
                <c:pt idx="424">
                  <c:v>Ryan Rosales</c:v>
                </c:pt>
                <c:pt idx="425">
                  <c:v>Sabrina Austin</c:v>
                </c:pt>
                <c:pt idx="426">
                  <c:v>Samantha Garcia</c:v>
                </c:pt>
                <c:pt idx="427">
                  <c:v>Samantha Gardner</c:v>
                </c:pt>
                <c:pt idx="428">
                  <c:v>Sandra Aguilar</c:v>
                </c:pt>
                <c:pt idx="429">
                  <c:v>Sandra Drake</c:v>
                </c:pt>
                <c:pt idx="430">
                  <c:v>Sara Fuller</c:v>
                </c:pt>
                <c:pt idx="431">
                  <c:v>Sara Johnston</c:v>
                </c:pt>
                <c:pt idx="432">
                  <c:v>Sarah Moore</c:v>
                </c:pt>
                <c:pt idx="433">
                  <c:v>Scott Thomas</c:v>
                </c:pt>
                <c:pt idx="434">
                  <c:v>Scott Williams</c:v>
                </c:pt>
                <c:pt idx="435">
                  <c:v>Sergio Knight</c:v>
                </c:pt>
                <c:pt idx="436">
                  <c:v>Shane Henderson</c:v>
                </c:pt>
                <c:pt idx="437">
                  <c:v>Shannon James</c:v>
                </c:pt>
                <c:pt idx="438">
                  <c:v>Shannon Jones</c:v>
                </c:pt>
                <c:pt idx="439">
                  <c:v>Shannon Ramsey</c:v>
                </c:pt>
                <c:pt idx="440">
                  <c:v>Shannon Rivera</c:v>
                </c:pt>
                <c:pt idx="441">
                  <c:v>Shannon Walker</c:v>
                </c:pt>
                <c:pt idx="442">
                  <c:v>Sharon Boyd</c:v>
                </c:pt>
                <c:pt idx="443">
                  <c:v>Sharon Cherry</c:v>
                </c:pt>
                <c:pt idx="444">
                  <c:v>Sharon Cochran</c:v>
                </c:pt>
                <c:pt idx="445">
                  <c:v>Shelia Wallace</c:v>
                </c:pt>
                <c:pt idx="446">
                  <c:v>Shelly Alexander</c:v>
                </c:pt>
                <c:pt idx="447">
                  <c:v>Shelly Spencer</c:v>
                </c:pt>
                <c:pt idx="448">
                  <c:v>Sherri Baker</c:v>
                </c:pt>
                <c:pt idx="449">
                  <c:v>Sherry Decker</c:v>
                </c:pt>
                <c:pt idx="450">
                  <c:v>Shirley Suarez</c:v>
                </c:pt>
                <c:pt idx="451">
                  <c:v>Sierra Johnson</c:v>
                </c:pt>
                <c:pt idx="452">
                  <c:v>Sophia Johnson</c:v>
                </c:pt>
                <c:pt idx="453">
                  <c:v>Spencer Haynes</c:v>
                </c:pt>
                <c:pt idx="454">
                  <c:v>Stephanie Byrd</c:v>
                </c:pt>
                <c:pt idx="455">
                  <c:v>Stephanie Manning</c:v>
                </c:pt>
                <c:pt idx="456">
                  <c:v>Stephanie Ross</c:v>
                </c:pt>
                <c:pt idx="457">
                  <c:v>Stephanie Salazar</c:v>
                </c:pt>
                <c:pt idx="458">
                  <c:v>Stephanie Williams</c:v>
                </c:pt>
                <c:pt idx="459">
                  <c:v>Stephen Hoffman</c:v>
                </c:pt>
                <c:pt idx="460">
                  <c:v>Stephen Mckee</c:v>
                </c:pt>
                <c:pt idx="461">
                  <c:v>Steve Paul</c:v>
                </c:pt>
                <c:pt idx="462">
                  <c:v>Steve Sanchez</c:v>
                </c:pt>
                <c:pt idx="463">
                  <c:v>Susan Murray MD</c:v>
                </c:pt>
                <c:pt idx="464">
                  <c:v>Susan Serrano</c:v>
                </c:pt>
                <c:pt idx="465">
                  <c:v>Susan Turner</c:v>
                </c:pt>
                <c:pt idx="466">
                  <c:v>Tamara Davis</c:v>
                </c:pt>
                <c:pt idx="467">
                  <c:v>Tammie Bright</c:v>
                </c:pt>
                <c:pt idx="468">
                  <c:v>Tanner Mitchell DDS</c:v>
                </c:pt>
                <c:pt idx="469">
                  <c:v>Tanya Kim</c:v>
                </c:pt>
                <c:pt idx="470">
                  <c:v>Taylor Carlson</c:v>
                </c:pt>
                <c:pt idx="471">
                  <c:v>Theodore Jones Jr.</c:v>
                </c:pt>
                <c:pt idx="472">
                  <c:v>Theresa Clark</c:v>
                </c:pt>
                <c:pt idx="473">
                  <c:v>Theresa Williams</c:v>
                </c:pt>
                <c:pt idx="474">
                  <c:v>Thomas Atkins</c:v>
                </c:pt>
                <c:pt idx="475">
                  <c:v>TImothy Duncan</c:v>
                </c:pt>
                <c:pt idx="476">
                  <c:v>TImothy Romero</c:v>
                </c:pt>
                <c:pt idx="477">
                  <c:v>Tina Sanders</c:v>
                </c:pt>
                <c:pt idx="478">
                  <c:v>Tommy Walter</c:v>
                </c:pt>
                <c:pt idx="479">
                  <c:v>Tracy Ballard</c:v>
                </c:pt>
                <c:pt idx="480">
                  <c:v>Tracy Burke</c:v>
                </c:pt>
                <c:pt idx="481">
                  <c:v>Tracy House</c:v>
                </c:pt>
                <c:pt idx="482">
                  <c:v>Tracy Montoya</c:v>
                </c:pt>
                <c:pt idx="483">
                  <c:v>Travis Tucker</c:v>
                </c:pt>
                <c:pt idx="484">
                  <c:v>Trevor Johnson</c:v>
                </c:pt>
                <c:pt idx="485">
                  <c:v>Tricia Valencia</c:v>
                </c:pt>
                <c:pt idx="486">
                  <c:v>unknown</c:v>
                </c:pt>
                <c:pt idx="487">
                  <c:v>Vanessa Howard</c:v>
                </c:pt>
                <c:pt idx="488">
                  <c:v>Veronica King</c:v>
                </c:pt>
                <c:pt idx="489">
                  <c:v>Veronica Simpson</c:v>
                </c:pt>
                <c:pt idx="490">
                  <c:v>Victor Baker</c:v>
                </c:pt>
                <c:pt idx="491">
                  <c:v>Victor Brown</c:v>
                </c:pt>
                <c:pt idx="492">
                  <c:v>Victor Taylor</c:v>
                </c:pt>
                <c:pt idx="493">
                  <c:v>Victoria Garcia</c:v>
                </c:pt>
                <c:pt idx="494">
                  <c:v>Victoria Larson</c:v>
                </c:pt>
                <c:pt idx="495">
                  <c:v>Wayne Morgan</c:v>
                </c:pt>
                <c:pt idx="496">
                  <c:v>Whitney Peters</c:v>
                </c:pt>
                <c:pt idx="497">
                  <c:v>William Baker</c:v>
                </c:pt>
                <c:pt idx="498">
                  <c:v>William Barrett</c:v>
                </c:pt>
                <c:pt idx="499">
                  <c:v>William Gould</c:v>
                </c:pt>
                <c:pt idx="500">
                  <c:v>William Herrera</c:v>
                </c:pt>
                <c:pt idx="501">
                  <c:v>William Jones</c:v>
                </c:pt>
                <c:pt idx="502">
                  <c:v>Yvonne Burns</c:v>
                </c:pt>
                <c:pt idx="503">
                  <c:v>Yvonne Chambers</c:v>
                </c:pt>
                <c:pt idx="504">
                  <c:v>Zachary Ferrell</c:v>
                </c:pt>
                <c:pt idx="505">
                  <c:v>Zachary Hicks</c:v>
                </c:pt>
                <c:pt idx="506">
                  <c:v>Zachary Mitchell</c:v>
                </c:pt>
                <c:pt idx="507">
                  <c:v>(blank)</c:v>
                </c:pt>
              </c:strCache>
            </c:strRef>
          </c:cat>
          <c:val>
            <c:numRef>
              <c:f>Sheet3!$B$64:$B$572</c:f>
              <c:numCache>
                <c:formatCode>General</c:formatCode>
                <c:ptCount val="508"/>
                <c:pt idx="0">
                  <c:v>9132710.6520000007</c:v>
                </c:pt>
                <c:pt idx="1">
                  <c:v>3830609.4840000002</c:v>
                </c:pt>
                <c:pt idx="2">
                  <c:v>11833814.304</c:v>
                </c:pt>
                <c:pt idx="3">
                  <c:v>85725.759999999995</c:v>
                </c:pt>
                <c:pt idx="4">
                  <c:v>5260349.9519999996</c:v>
                </c:pt>
                <c:pt idx="5">
                  <c:v>12974873.184</c:v>
                </c:pt>
                <c:pt idx="6">
                  <c:v>12134931.588</c:v>
                </c:pt>
                <c:pt idx="7">
                  <c:v>8875110.9000000004</c:v>
                </c:pt>
                <c:pt idx="8">
                  <c:v>7286933.1600000001</c:v>
                </c:pt>
                <c:pt idx="9">
                  <c:v>3335558.6159999995</c:v>
                </c:pt>
                <c:pt idx="10">
                  <c:v>16327137.84</c:v>
                </c:pt>
                <c:pt idx="11">
                  <c:v>13221824.16</c:v>
                </c:pt>
                <c:pt idx="12">
                  <c:v>4531349.1599999992</c:v>
                </c:pt>
                <c:pt idx="13">
                  <c:v>12542069.592</c:v>
                </c:pt>
                <c:pt idx="14">
                  <c:v>1131698.412</c:v>
                </c:pt>
                <c:pt idx="15">
                  <c:v>5641719.4079999998</c:v>
                </c:pt>
                <c:pt idx="16">
                  <c:v>1557037</c:v>
                </c:pt>
                <c:pt idx="17">
                  <c:v>474977.41199999995</c:v>
                </c:pt>
                <c:pt idx="18">
                  <c:v>17520575.550000001</c:v>
                </c:pt>
                <c:pt idx="19">
                  <c:v>16392655.949999999</c:v>
                </c:pt>
                <c:pt idx="20">
                  <c:v>9012419.675999999</c:v>
                </c:pt>
                <c:pt idx="21">
                  <c:v>6748612.8839999996</c:v>
                </c:pt>
                <c:pt idx="22">
                  <c:v>7286933.1600000001</c:v>
                </c:pt>
                <c:pt idx="23">
                  <c:v>5807735.3880000003</c:v>
                </c:pt>
                <c:pt idx="24">
                  <c:v>3414147.87</c:v>
                </c:pt>
                <c:pt idx="25">
                  <c:v>3077635.392</c:v>
                </c:pt>
                <c:pt idx="26">
                  <c:v>548548.41599999997</c:v>
                </c:pt>
                <c:pt idx="27">
                  <c:v>21985540.600000001</c:v>
                </c:pt>
                <c:pt idx="28">
                  <c:v>26075188.41</c:v>
                </c:pt>
                <c:pt idx="29">
                  <c:v>6546655.4399999995</c:v>
                </c:pt>
                <c:pt idx="30">
                  <c:v>7286933.1600000001</c:v>
                </c:pt>
                <c:pt idx="31">
                  <c:v>8594243.4239999987</c:v>
                </c:pt>
                <c:pt idx="32">
                  <c:v>13078023.192</c:v>
                </c:pt>
                <c:pt idx="33">
                  <c:v>3823758.9</c:v>
                </c:pt>
                <c:pt idx="34">
                  <c:v>12678822</c:v>
                </c:pt>
                <c:pt idx="35">
                  <c:v>6327881.8199999994</c:v>
                </c:pt>
                <c:pt idx="36">
                  <c:v>1507949.4</c:v>
                </c:pt>
                <c:pt idx="37">
                  <c:v>7286933.1600000001</c:v>
                </c:pt>
                <c:pt idx="38">
                  <c:v>13861863.359999999</c:v>
                </c:pt>
                <c:pt idx="39">
                  <c:v>2603124.1079999995</c:v>
                </c:pt>
                <c:pt idx="40">
                  <c:v>7006666.5000000009</c:v>
                </c:pt>
                <c:pt idx="41">
                  <c:v>1175180.82</c:v>
                </c:pt>
                <c:pt idx="42">
                  <c:v>3181964.2919999999</c:v>
                </c:pt>
                <c:pt idx="43">
                  <c:v>1788402.03</c:v>
                </c:pt>
                <c:pt idx="44">
                  <c:v>3005590.86</c:v>
                </c:pt>
                <c:pt idx="45">
                  <c:v>2946414.5</c:v>
                </c:pt>
                <c:pt idx="46">
                  <c:v>10618702.847999999</c:v>
                </c:pt>
                <c:pt idx="47">
                  <c:v>10146086.495999999</c:v>
                </c:pt>
                <c:pt idx="48">
                  <c:v>9513128.1959999986</c:v>
                </c:pt>
                <c:pt idx="49">
                  <c:v>6216502.5</c:v>
                </c:pt>
                <c:pt idx="50">
                  <c:v>6310365.5159999998</c:v>
                </c:pt>
                <c:pt idx="51">
                  <c:v>6267552.8760000002</c:v>
                </c:pt>
                <c:pt idx="52">
                  <c:v>2044475.3160000001</c:v>
                </c:pt>
                <c:pt idx="53">
                  <c:v>16863342.27</c:v>
                </c:pt>
                <c:pt idx="54">
                  <c:v>3277269.6839999999</c:v>
                </c:pt>
                <c:pt idx="55">
                  <c:v>3736888.8000000003</c:v>
                </c:pt>
                <c:pt idx="56">
                  <c:v>9110156.3279999997</c:v>
                </c:pt>
                <c:pt idx="57">
                  <c:v>13923307.476</c:v>
                </c:pt>
                <c:pt idx="58">
                  <c:v>4718153.5</c:v>
                </c:pt>
                <c:pt idx="59">
                  <c:v>7680293.243999999</c:v>
                </c:pt>
                <c:pt idx="60">
                  <c:v>1444865.5</c:v>
                </c:pt>
                <c:pt idx="61">
                  <c:v>11103495.624</c:v>
                </c:pt>
                <c:pt idx="62">
                  <c:v>7426591.3799999999</c:v>
                </c:pt>
                <c:pt idx="63">
                  <c:v>933143.96</c:v>
                </c:pt>
                <c:pt idx="64">
                  <c:v>10498544.784</c:v>
                </c:pt>
                <c:pt idx="65">
                  <c:v>5392609.04</c:v>
                </c:pt>
                <c:pt idx="66">
                  <c:v>3228337.28</c:v>
                </c:pt>
                <c:pt idx="67">
                  <c:v>6205261.1399999987</c:v>
                </c:pt>
                <c:pt idx="68">
                  <c:v>2302477.52</c:v>
                </c:pt>
                <c:pt idx="69">
                  <c:v>6877560.4560000002</c:v>
                </c:pt>
                <c:pt idx="70">
                  <c:v>896761.32</c:v>
                </c:pt>
                <c:pt idx="71">
                  <c:v>8374692.9239999987</c:v>
                </c:pt>
                <c:pt idx="72">
                  <c:v>5880726.54</c:v>
                </c:pt>
                <c:pt idx="73">
                  <c:v>7286933.1600000001</c:v>
                </c:pt>
                <c:pt idx="74">
                  <c:v>12621059.1</c:v>
                </c:pt>
                <c:pt idx="75">
                  <c:v>18668695.27</c:v>
                </c:pt>
                <c:pt idx="76">
                  <c:v>4207343.3999999994</c:v>
                </c:pt>
                <c:pt idx="77">
                  <c:v>966589.88399999996</c:v>
                </c:pt>
                <c:pt idx="78">
                  <c:v>703406.80799999996</c:v>
                </c:pt>
                <c:pt idx="79">
                  <c:v>9842321.2679999992</c:v>
                </c:pt>
                <c:pt idx="80">
                  <c:v>11059659.935999999</c:v>
                </c:pt>
                <c:pt idx="81">
                  <c:v>3114074</c:v>
                </c:pt>
                <c:pt idx="82">
                  <c:v>14017820.67</c:v>
                </c:pt>
                <c:pt idx="83">
                  <c:v>5467714.6679999996</c:v>
                </c:pt>
                <c:pt idx="84">
                  <c:v>5064394.608</c:v>
                </c:pt>
                <c:pt idx="85">
                  <c:v>5365891.9079999998</c:v>
                </c:pt>
                <c:pt idx="86">
                  <c:v>4205844.3959999997</c:v>
                </c:pt>
                <c:pt idx="87">
                  <c:v>2181950</c:v>
                </c:pt>
                <c:pt idx="88">
                  <c:v>3022767.54</c:v>
                </c:pt>
                <c:pt idx="89">
                  <c:v>3186549.2880000002</c:v>
                </c:pt>
                <c:pt idx="90">
                  <c:v>13413650.328</c:v>
                </c:pt>
                <c:pt idx="91">
                  <c:v>905482.2</c:v>
                </c:pt>
                <c:pt idx="92">
                  <c:v>1670342.04</c:v>
                </c:pt>
                <c:pt idx="93">
                  <c:v>4719551.148</c:v>
                </c:pt>
                <c:pt idx="94">
                  <c:v>5094393.8760000002</c:v>
                </c:pt>
                <c:pt idx="95">
                  <c:v>8719407.2000000011</c:v>
                </c:pt>
                <c:pt idx="96">
                  <c:v>1443200.55</c:v>
                </c:pt>
                <c:pt idx="97">
                  <c:v>4850924.8320000004</c:v>
                </c:pt>
                <c:pt idx="98">
                  <c:v>6665108.4000000004</c:v>
                </c:pt>
                <c:pt idx="99">
                  <c:v>3728858.7959999996</c:v>
                </c:pt>
                <c:pt idx="100">
                  <c:v>4080742.8479999998</c:v>
                </c:pt>
                <c:pt idx="101">
                  <c:v>6456987.5760000004</c:v>
                </c:pt>
                <c:pt idx="102">
                  <c:v>9558826.0559999999</c:v>
                </c:pt>
                <c:pt idx="103">
                  <c:v>9887842.6919999998</c:v>
                </c:pt>
                <c:pt idx="104">
                  <c:v>10165222.08</c:v>
                </c:pt>
                <c:pt idx="105">
                  <c:v>5531287.3199999994</c:v>
                </c:pt>
                <c:pt idx="106">
                  <c:v>9174737.0519999992</c:v>
                </c:pt>
                <c:pt idx="107">
                  <c:v>6728534.7479999987</c:v>
                </c:pt>
                <c:pt idx="108">
                  <c:v>3823230.9959999998</c:v>
                </c:pt>
                <c:pt idx="109">
                  <c:v>12878235.395999998</c:v>
                </c:pt>
                <c:pt idx="110">
                  <c:v>7286933.1600000001</c:v>
                </c:pt>
                <c:pt idx="111">
                  <c:v>10622464.163999999</c:v>
                </c:pt>
                <c:pt idx="112">
                  <c:v>3432347.5679999995</c:v>
                </c:pt>
                <c:pt idx="113">
                  <c:v>3467699.352</c:v>
                </c:pt>
                <c:pt idx="114">
                  <c:v>816885.02</c:v>
                </c:pt>
                <c:pt idx="115">
                  <c:v>3283350.4</c:v>
                </c:pt>
                <c:pt idx="116">
                  <c:v>7452083.3399999989</c:v>
                </c:pt>
                <c:pt idx="117">
                  <c:v>11067929.027999999</c:v>
                </c:pt>
                <c:pt idx="118">
                  <c:v>6715683</c:v>
                </c:pt>
                <c:pt idx="119">
                  <c:v>6400653.9479999989</c:v>
                </c:pt>
                <c:pt idx="120">
                  <c:v>4488107.8320000004</c:v>
                </c:pt>
                <c:pt idx="121">
                  <c:v>14013689.039999999</c:v>
                </c:pt>
                <c:pt idx="122">
                  <c:v>119135.01599999999</c:v>
                </c:pt>
                <c:pt idx="123">
                  <c:v>7286933.1600000001</c:v>
                </c:pt>
                <c:pt idx="124">
                  <c:v>1047025.512</c:v>
                </c:pt>
                <c:pt idx="125">
                  <c:v>8472367.7999999989</c:v>
                </c:pt>
                <c:pt idx="126">
                  <c:v>9559480.7879999988</c:v>
                </c:pt>
                <c:pt idx="127">
                  <c:v>12248852.615999999</c:v>
                </c:pt>
                <c:pt idx="128">
                  <c:v>4374205.88</c:v>
                </c:pt>
                <c:pt idx="129">
                  <c:v>3847648.4279999998</c:v>
                </c:pt>
                <c:pt idx="130">
                  <c:v>9616763.9879999999</c:v>
                </c:pt>
                <c:pt idx="131">
                  <c:v>7329567.4919999996</c:v>
                </c:pt>
                <c:pt idx="132">
                  <c:v>1554385.2479999999</c:v>
                </c:pt>
                <c:pt idx="133">
                  <c:v>4331882.75</c:v>
                </c:pt>
                <c:pt idx="134">
                  <c:v>16028191.4</c:v>
                </c:pt>
                <c:pt idx="135">
                  <c:v>8975961.0720000006</c:v>
                </c:pt>
                <c:pt idx="136">
                  <c:v>3990927.5639999998</c:v>
                </c:pt>
                <c:pt idx="137">
                  <c:v>7286933.1600000001</c:v>
                </c:pt>
                <c:pt idx="138">
                  <c:v>5449629.5</c:v>
                </c:pt>
                <c:pt idx="139">
                  <c:v>4658466.852</c:v>
                </c:pt>
                <c:pt idx="140">
                  <c:v>12880052.171999998</c:v>
                </c:pt>
                <c:pt idx="141">
                  <c:v>7134012.2699999996</c:v>
                </c:pt>
                <c:pt idx="142">
                  <c:v>12081692.843999999</c:v>
                </c:pt>
                <c:pt idx="143">
                  <c:v>10271205.828</c:v>
                </c:pt>
                <c:pt idx="144">
                  <c:v>6691091.4720000001</c:v>
                </c:pt>
                <c:pt idx="145">
                  <c:v>13939736.147999998</c:v>
                </c:pt>
                <c:pt idx="146">
                  <c:v>6809958.7919999994</c:v>
                </c:pt>
                <c:pt idx="147">
                  <c:v>4047435.7559999996</c:v>
                </c:pt>
                <c:pt idx="148">
                  <c:v>2870556.6239999998</c:v>
                </c:pt>
                <c:pt idx="149">
                  <c:v>9639819.5399999991</c:v>
                </c:pt>
                <c:pt idx="150">
                  <c:v>5820107.9039999992</c:v>
                </c:pt>
                <c:pt idx="151">
                  <c:v>7389216.4319999991</c:v>
                </c:pt>
                <c:pt idx="152">
                  <c:v>1153375.236</c:v>
                </c:pt>
                <c:pt idx="153">
                  <c:v>15691749.92</c:v>
                </c:pt>
                <c:pt idx="154">
                  <c:v>4666252.9679999994</c:v>
                </c:pt>
                <c:pt idx="155">
                  <c:v>3343989.1679999996</c:v>
                </c:pt>
                <c:pt idx="156">
                  <c:v>3396723.4079999998</c:v>
                </c:pt>
                <c:pt idx="157">
                  <c:v>230559.64</c:v>
                </c:pt>
                <c:pt idx="158">
                  <c:v>11763772.488</c:v>
                </c:pt>
                <c:pt idx="159">
                  <c:v>10072152.323999999</c:v>
                </c:pt>
                <c:pt idx="160">
                  <c:v>11264643</c:v>
                </c:pt>
                <c:pt idx="161">
                  <c:v>19089619.920000002</c:v>
                </c:pt>
                <c:pt idx="162">
                  <c:v>13113554.687999997</c:v>
                </c:pt>
                <c:pt idx="163">
                  <c:v>7293575.0159999989</c:v>
                </c:pt>
                <c:pt idx="164">
                  <c:v>7286933.1600000001</c:v>
                </c:pt>
                <c:pt idx="165">
                  <c:v>1065259.7279999999</c:v>
                </c:pt>
                <c:pt idx="166">
                  <c:v>11942178.767999999</c:v>
                </c:pt>
                <c:pt idx="167">
                  <c:v>10702081.727999998</c:v>
                </c:pt>
                <c:pt idx="168">
                  <c:v>717097.72</c:v>
                </c:pt>
                <c:pt idx="169">
                  <c:v>291699.65999999997</c:v>
                </c:pt>
                <c:pt idx="170">
                  <c:v>7634843.892</c:v>
                </c:pt>
                <c:pt idx="171">
                  <c:v>827358.27</c:v>
                </c:pt>
                <c:pt idx="172">
                  <c:v>7286933.1600000001</c:v>
                </c:pt>
                <c:pt idx="173">
                  <c:v>1921652.4599999997</c:v>
                </c:pt>
                <c:pt idx="174">
                  <c:v>5811696.54</c:v>
                </c:pt>
                <c:pt idx="175">
                  <c:v>7134231.311999999</c:v>
                </c:pt>
                <c:pt idx="176">
                  <c:v>12367082.987999998</c:v>
                </c:pt>
                <c:pt idx="177">
                  <c:v>13247565.083999999</c:v>
                </c:pt>
                <c:pt idx="178">
                  <c:v>1397378.8</c:v>
                </c:pt>
                <c:pt idx="179">
                  <c:v>11287875.923999999</c:v>
                </c:pt>
                <c:pt idx="180">
                  <c:v>8345400.8039999995</c:v>
                </c:pt>
                <c:pt idx="181">
                  <c:v>6555192.6959999995</c:v>
                </c:pt>
                <c:pt idx="182">
                  <c:v>688377.97</c:v>
                </c:pt>
                <c:pt idx="183">
                  <c:v>11488921.704</c:v>
                </c:pt>
                <c:pt idx="184">
                  <c:v>5957289.2599999998</c:v>
                </c:pt>
                <c:pt idx="185">
                  <c:v>11529660.635999998</c:v>
                </c:pt>
                <c:pt idx="186">
                  <c:v>9344432.6999999993</c:v>
                </c:pt>
                <c:pt idx="187">
                  <c:v>11526693.983999999</c:v>
                </c:pt>
                <c:pt idx="188">
                  <c:v>1773892.88</c:v>
                </c:pt>
                <c:pt idx="189">
                  <c:v>5582832.8399999999</c:v>
                </c:pt>
                <c:pt idx="190">
                  <c:v>12767703.4</c:v>
                </c:pt>
                <c:pt idx="191">
                  <c:v>5385913.8300000001</c:v>
                </c:pt>
                <c:pt idx="192">
                  <c:v>5828548.6799999997</c:v>
                </c:pt>
                <c:pt idx="193">
                  <c:v>15105632.49</c:v>
                </c:pt>
                <c:pt idx="194">
                  <c:v>7483209.5520000001</c:v>
                </c:pt>
                <c:pt idx="195">
                  <c:v>1950563.6279999998</c:v>
                </c:pt>
                <c:pt idx="196">
                  <c:v>7600247.46</c:v>
                </c:pt>
                <c:pt idx="197">
                  <c:v>13219826.255999999</c:v>
                </c:pt>
                <c:pt idx="198">
                  <c:v>10131931.368000001</c:v>
                </c:pt>
                <c:pt idx="199">
                  <c:v>7286933.1600000001</c:v>
                </c:pt>
                <c:pt idx="200">
                  <c:v>577722.13199999998</c:v>
                </c:pt>
                <c:pt idx="201">
                  <c:v>6329990.0099999998</c:v>
                </c:pt>
                <c:pt idx="202">
                  <c:v>9476210.9519999996</c:v>
                </c:pt>
                <c:pt idx="203">
                  <c:v>13140489.959999999</c:v>
                </c:pt>
                <c:pt idx="204">
                  <c:v>7515162.1799999997</c:v>
                </c:pt>
                <c:pt idx="205">
                  <c:v>2537340.156</c:v>
                </c:pt>
                <c:pt idx="206">
                  <c:v>1364282.46</c:v>
                </c:pt>
                <c:pt idx="207">
                  <c:v>12939288.804000001</c:v>
                </c:pt>
                <c:pt idx="208">
                  <c:v>6058572.6239999989</c:v>
                </c:pt>
                <c:pt idx="209">
                  <c:v>4748566.68</c:v>
                </c:pt>
                <c:pt idx="210">
                  <c:v>28734589.800000001</c:v>
                </c:pt>
                <c:pt idx="211">
                  <c:v>4273065.108</c:v>
                </c:pt>
                <c:pt idx="212">
                  <c:v>4023952.4519999996</c:v>
                </c:pt>
                <c:pt idx="213">
                  <c:v>5769991.7300000004</c:v>
                </c:pt>
                <c:pt idx="214">
                  <c:v>3170553.62</c:v>
                </c:pt>
                <c:pt idx="215">
                  <c:v>9874899.216</c:v>
                </c:pt>
                <c:pt idx="216">
                  <c:v>57887.040000000001</c:v>
                </c:pt>
                <c:pt idx="217">
                  <c:v>6319490.4299999997</c:v>
                </c:pt>
                <c:pt idx="218">
                  <c:v>5687906.9699999997</c:v>
                </c:pt>
                <c:pt idx="219">
                  <c:v>10392112.223999999</c:v>
                </c:pt>
                <c:pt idx="220">
                  <c:v>12767703.4</c:v>
                </c:pt>
                <c:pt idx="221">
                  <c:v>7286933.1600000001</c:v>
                </c:pt>
                <c:pt idx="222">
                  <c:v>13194966.095999997</c:v>
                </c:pt>
                <c:pt idx="223">
                  <c:v>811185.1</c:v>
                </c:pt>
                <c:pt idx="224">
                  <c:v>3400954.5959999999</c:v>
                </c:pt>
                <c:pt idx="225">
                  <c:v>1985142.7439999999</c:v>
                </c:pt>
                <c:pt idx="226">
                  <c:v>12489267.023999998</c:v>
                </c:pt>
                <c:pt idx="227">
                  <c:v>2951314.7039999999</c:v>
                </c:pt>
                <c:pt idx="228">
                  <c:v>12736916.244000001</c:v>
                </c:pt>
                <c:pt idx="229">
                  <c:v>7286933.1600000001</c:v>
                </c:pt>
                <c:pt idx="230">
                  <c:v>14588890.5</c:v>
                </c:pt>
                <c:pt idx="231">
                  <c:v>9698924.1959999986</c:v>
                </c:pt>
                <c:pt idx="232">
                  <c:v>7885125.6119999997</c:v>
                </c:pt>
                <c:pt idx="233">
                  <c:v>2001571.65</c:v>
                </c:pt>
                <c:pt idx="234">
                  <c:v>7286933.1600000001</c:v>
                </c:pt>
                <c:pt idx="235">
                  <c:v>2536111.656</c:v>
                </c:pt>
                <c:pt idx="236">
                  <c:v>15617534.880000001</c:v>
                </c:pt>
                <c:pt idx="237">
                  <c:v>11784287.267999999</c:v>
                </c:pt>
                <c:pt idx="238">
                  <c:v>1392622.4519999998</c:v>
                </c:pt>
                <c:pt idx="239">
                  <c:v>13783288.895999998</c:v>
                </c:pt>
                <c:pt idx="240">
                  <c:v>4619816.6039999994</c:v>
                </c:pt>
                <c:pt idx="241">
                  <c:v>13442339.663999999</c:v>
                </c:pt>
                <c:pt idx="242">
                  <c:v>9496779.5519999992</c:v>
                </c:pt>
                <c:pt idx="243">
                  <c:v>7286933.1600000001</c:v>
                </c:pt>
                <c:pt idx="244">
                  <c:v>11628468.071999999</c:v>
                </c:pt>
                <c:pt idx="245">
                  <c:v>7286933.1600000001</c:v>
                </c:pt>
                <c:pt idx="246">
                  <c:v>7374589.0919999992</c:v>
                </c:pt>
                <c:pt idx="247">
                  <c:v>11943503.675999999</c:v>
                </c:pt>
                <c:pt idx="248">
                  <c:v>6121264.3200000003</c:v>
                </c:pt>
                <c:pt idx="249">
                  <c:v>12962207.699999999</c:v>
                </c:pt>
                <c:pt idx="250">
                  <c:v>7286933.1600000001</c:v>
                </c:pt>
                <c:pt idx="251">
                  <c:v>2478171.852</c:v>
                </c:pt>
                <c:pt idx="252">
                  <c:v>10832641.092</c:v>
                </c:pt>
                <c:pt idx="253">
                  <c:v>8948443.1399999987</c:v>
                </c:pt>
                <c:pt idx="254">
                  <c:v>10342017.16</c:v>
                </c:pt>
                <c:pt idx="255">
                  <c:v>9015399.4319999982</c:v>
                </c:pt>
                <c:pt idx="256">
                  <c:v>7286933.1600000001</c:v>
                </c:pt>
                <c:pt idx="257">
                  <c:v>7286933.1600000001</c:v>
                </c:pt>
                <c:pt idx="258">
                  <c:v>9915969.0239999983</c:v>
                </c:pt>
                <c:pt idx="259">
                  <c:v>5399808.8039999995</c:v>
                </c:pt>
                <c:pt idx="260">
                  <c:v>12767703.4</c:v>
                </c:pt>
                <c:pt idx="261">
                  <c:v>13741788.060000001</c:v>
                </c:pt>
                <c:pt idx="262">
                  <c:v>3325650.72</c:v>
                </c:pt>
                <c:pt idx="263">
                  <c:v>7372563.1199999992</c:v>
                </c:pt>
                <c:pt idx="264">
                  <c:v>7831585.0999999996</c:v>
                </c:pt>
                <c:pt idx="265">
                  <c:v>8131643.2079999996</c:v>
                </c:pt>
                <c:pt idx="266">
                  <c:v>2237196.7799999998</c:v>
                </c:pt>
                <c:pt idx="267">
                  <c:v>13065972.050000001</c:v>
                </c:pt>
                <c:pt idx="268">
                  <c:v>11639994.443999998</c:v>
                </c:pt>
                <c:pt idx="269">
                  <c:v>15955443.75</c:v>
                </c:pt>
                <c:pt idx="270">
                  <c:v>480544.4</c:v>
                </c:pt>
                <c:pt idx="271">
                  <c:v>12000388.607999999</c:v>
                </c:pt>
                <c:pt idx="272">
                  <c:v>13207913.316</c:v>
                </c:pt>
                <c:pt idx="273">
                  <c:v>10698848.784</c:v>
                </c:pt>
                <c:pt idx="274">
                  <c:v>4871174.2560000001</c:v>
                </c:pt>
                <c:pt idx="275">
                  <c:v>1466580.79</c:v>
                </c:pt>
                <c:pt idx="276">
                  <c:v>15620106.960000001</c:v>
                </c:pt>
                <c:pt idx="277">
                  <c:v>6482655.9720000001</c:v>
                </c:pt>
                <c:pt idx="278">
                  <c:v>65666.483999999997</c:v>
                </c:pt>
                <c:pt idx="279">
                  <c:v>2278801.2799999998</c:v>
                </c:pt>
                <c:pt idx="280">
                  <c:v>4088337.55</c:v>
                </c:pt>
                <c:pt idx="281">
                  <c:v>1887465.0599999998</c:v>
                </c:pt>
                <c:pt idx="282">
                  <c:v>8850756.1999999993</c:v>
                </c:pt>
                <c:pt idx="283">
                  <c:v>12976970.76</c:v>
                </c:pt>
                <c:pt idx="284">
                  <c:v>1987624.0799999998</c:v>
                </c:pt>
                <c:pt idx="285">
                  <c:v>10607068.550000001</c:v>
                </c:pt>
                <c:pt idx="286">
                  <c:v>5704023.7800000003</c:v>
                </c:pt>
                <c:pt idx="287">
                  <c:v>3550281.19</c:v>
                </c:pt>
                <c:pt idx="288">
                  <c:v>10798310.952</c:v>
                </c:pt>
                <c:pt idx="289">
                  <c:v>8259325.3079999993</c:v>
                </c:pt>
                <c:pt idx="290">
                  <c:v>11494340.207999999</c:v>
                </c:pt>
                <c:pt idx="291">
                  <c:v>12557302.055999998</c:v>
                </c:pt>
                <c:pt idx="292">
                  <c:v>13839500.376</c:v>
                </c:pt>
                <c:pt idx="293">
                  <c:v>16534918.619999999</c:v>
                </c:pt>
                <c:pt idx="294">
                  <c:v>9030814.6000000015</c:v>
                </c:pt>
                <c:pt idx="295">
                  <c:v>11301865.847999999</c:v>
                </c:pt>
                <c:pt idx="296">
                  <c:v>803224.65599999984</c:v>
                </c:pt>
                <c:pt idx="297">
                  <c:v>2546126.3879999998</c:v>
                </c:pt>
                <c:pt idx="298">
                  <c:v>5314615.4879999999</c:v>
                </c:pt>
                <c:pt idx="299">
                  <c:v>7286933.1600000001</c:v>
                </c:pt>
                <c:pt idx="300">
                  <c:v>852658.09199999983</c:v>
                </c:pt>
                <c:pt idx="301">
                  <c:v>10597322.736</c:v>
                </c:pt>
                <c:pt idx="302">
                  <c:v>4160992.2119999994</c:v>
                </c:pt>
                <c:pt idx="303">
                  <c:v>328547.69999999995</c:v>
                </c:pt>
                <c:pt idx="304">
                  <c:v>9537168.8880000003</c:v>
                </c:pt>
                <c:pt idx="305">
                  <c:v>7286933.1600000001</c:v>
                </c:pt>
                <c:pt idx="306">
                  <c:v>19363748.34</c:v>
                </c:pt>
                <c:pt idx="307">
                  <c:v>8053192.8359999992</c:v>
                </c:pt>
                <c:pt idx="308">
                  <c:v>4078528.16</c:v>
                </c:pt>
                <c:pt idx="309">
                  <c:v>6513438.6720000003</c:v>
                </c:pt>
                <c:pt idx="310">
                  <c:v>12923407.100000001</c:v>
                </c:pt>
                <c:pt idx="311">
                  <c:v>8976164.1840000004</c:v>
                </c:pt>
                <c:pt idx="312">
                  <c:v>6280985.8799999999</c:v>
                </c:pt>
                <c:pt idx="313">
                  <c:v>1131124.176</c:v>
                </c:pt>
                <c:pt idx="314">
                  <c:v>8061594.8399999989</c:v>
                </c:pt>
                <c:pt idx="315">
                  <c:v>3853718.91</c:v>
                </c:pt>
                <c:pt idx="316">
                  <c:v>13440606.66</c:v>
                </c:pt>
                <c:pt idx="317">
                  <c:v>5605333.2000000002</c:v>
                </c:pt>
                <c:pt idx="318">
                  <c:v>7855836.7680000002</c:v>
                </c:pt>
                <c:pt idx="319">
                  <c:v>7286933.1600000001</c:v>
                </c:pt>
                <c:pt idx="320">
                  <c:v>12565330.595999997</c:v>
                </c:pt>
                <c:pt idx="321">
                  <c:v>10813953.852</c:v>
                </c:pt>
                <c:pt idx="322">
                  <c:v>8372164.04</c:v>
                </c:pt>
                <c:pt idx="323">
                  <c:v>1427834.7719999999</c:v>
                </c:pt>
                <c:pt idx="324">
                  <c:v>6176166.0479999986</c:v>
                </c:pt>
                <c:pt idx="325">
                  <c:v>8635891.4399999995</c:v>
                </c:pt>
                <c:pt idx="326">
                  <c:v>243905.68799999997</c:v>
                </c:pt>
                <c:pt idx="327">
                  <c:v>1783601.82</c:v>
                </c:pt>
                <c:pt idx="328">
                  <c:v>7318073.9000000004</c:v>
                </c:pt>
                <c:pt idx="329">
                  <c:v>1082048.1000000001</c:v>
                </c:pt>
                <c:pt idx="330">
                  <c:v>4228024.3199999994</c:v>
                </c:pt>
                <c:pt idx="331">
                  <c:v>2538722.88</c:v>
                </c:pt>
                <c:pt idx="332">
                  <c:v>7928176.4639999997</c:v>
                </c:pt>
                <c:pt idx="333">
                  <c:v>5305202.1359999999</c:v>
                </c:pt>
                <c:pt idx="334">
                  <c:v>12473814.99</c:v>
                </c:pt>
                <c:pt idx="335">
                  <c:v>11744125.847999999</c:v>
                </c:pt>
                <c:pt idx="336">
                  <c:v>10389994.523999998</c:v>
                </c:pt>
                <c:pt idx="337">
                  <c:v>12248503.26</c:v>
                </c:pt>
                <c:pt idx="338">
                  <c:v>6285113.1720000003</c:v>
                </c:pt>
                <c:pt idx="339">
                  <c:v>9217897.8839999996</c:v>
                </c:pt>
                <c:pt idx="340">
                  <c:v>867979.00800000003</c:v>
                </c:pt>
                <c:pt idx="341">
                  <c:v>19102572.684</c:v>
                </c:pt>
                <c:pt idx="342">
                  <c:v>8117633.6279999996</c:v>
                </c:pt>
                <c:pt idx="343">
                  <c:v>10149182.316</c:v>
                </c:pt>
                <c:pt idx="344">
                  <c:v>2491259.2000000002</c:v>
                </c:pt>
                <c:pt idx="345">
                  <c:v>10138680.864</c:v>
                </c:pt>
                <c:pt idx="346">
                  <c:v>7966550.1239999989</c:v>
                </c:pt>
                <c:pt idx="347">
                  <c:v>7286933.1600000001</c:v>
                </c:pt>
                <c:pt idx="348">
                  <c:v>12817708.955999998</c:v>
                </c:pt>
                <c:pt idx="349">
                  <c:v>4158637.236</c:v>
                </c:pt>
                <c:pt idx="350">
                  <c:v>12144888.600000001</c:v>
                </c:pt>
                <c:pt idx="351">
                  <c:v>6775656</c:v>
                </c:pt>
                <c:pt idx="352">
                  <c:v>4643626.1039999994</c:v>
                </c:pt>
                <c:pt idx="353">
                  <c:v>7357073.1399999997</c:v>
                </c:pt>
                <c:pt idx="354">
                  <c:v>9434853.3239999991</c:v>
                </c:pt>
                <c:pt idx="355">
                  <c:v>7286933.1600000001</c:v>
                </c:pt>
                <c:pt idx="356">
                  <c:v>3590025.1919999998</c:v>
                </c:pt>
                <c:pt idx="357">
                  <c:v>3089106.0719999997</c:v>
                </c:pt>
                <c:pt idx="358">
                  <c:v>10030575.359999999</c:v>
                </c:pt>
                <c:pt idx="359">
                  <c:v>8187519.5999999996</c:v>
                </c:pt>
                <c:pt idx="360">
                  <c:v>1872811.044</c:v>
                </c:pt>
                <c:pt idx="361">
                  <c:v>256593.636</c:v>
                </c:pt>
                <c:pt idx="362">
                  <c:v>21572015</c:v>
                </c:pt>
                <c:pt idx="363">
                  <c:v>326782.96000000002</c:v>
                </c:pt>
                <c:pt idx="364">
                  <c:v>3278337.6599999997</c:v>
                </c:pt>
                <c:pt idx="365">
                  <c:v>12578916.168</c:v>
                </c:pt>
                <c:pt idx="366">
                  <c:v>459478.11</c:v>
                </c:pt>
                <c:pt idx="367">
                  <c:v>243911.2</c:v>
                </c:pt>
                <c:pt idx="368">
                  <c:v>4409502.5520000001</c:v>
                </c:pt>
                <c:pt idx="369">
                  <c:v>13451653.15</c:v>
                </c:pt>
                <c:pt idx="370">
                  <c:v>3400963.9559999998</c:v>
                </c:pt>
                <c:pt idx="371">
                  <c:v>12281669.712000001</c:v>
                </c:pt>
                <c:pt idx="372">
                  <c:v>9264324.8880000003</c:v>
                </c:pt>
                <c:pt idx="373">
                  <c:v>5745805.4159999993</c:v>
                </c:pt>
                <c:pt idx="374">
                  <c:v>9862222.5</c:v>
                </c:pt>
                <c:pt idx="375">
                  <c:v>5352376.067999999</c:v>
                </c:pt>
                <c:pt idx="376">
                  <c:v>10752965.964</c:v>
                </c:pt>
                <c:pt idx="377">
                  <c:v>5224644.8279999997</c:v>
                </c:pt>
                <c:pt idx="378">
                  <c:v>3299056.8</c:v>
                </c:pt>
                <c:pt idx="379">
                  <c:v>10596552.408</c:v>
                </c:pt>
                <c:pt idx="380">
                  <c:v>1982654.388</c:v>
                </c:pt>
                <c:pt idx="381">
                  <c:v>13532354.784</c:v>
                </c:pt>
                <c:pt idx="382">
                  <c:v>16506303.68</c:v>
                </c:pt>
                <c:pt idx="383">
                  <c:v>2686886.28</c:v>
                </c:pt>
                <c:pt idx="384">
                  <c:v>3798794.1</c:v>
                </c:pt>
                <c:pt idx="385">
                  <c:v>13037180.363999998</c:v>
                </c:pt>
                <c:pt idx="386">
                  <c:v>4226816.88</c:v>
                </c:pt>
                <c:pt idx="387">
                  <c:v>13210108.199999999</c:v>
                </c:pt>
                <c:pt idx="388">
                  <c:v>8843492.2679999992</c:v>
                </c:pt>
                <c:pt idx="389">
                  <c:v>4843200.2300000004</c:v>
                </c:pt>
                <c:pt idx="390">
                  <c:v>7286933.1600000001</c:v>
                </c:pt>
                <c:pt idx="391">
                  <c:v>12397422.023999998</c:v>
                </c:pt>
                <c:pt idx="392">
                  <c:v>6941510.6399999997</c:v>
                </c:pt>
                <c:pt idx="393">
                  <c:v>7710194.5599999996</c:v>
                </c:pt>
                <c:pt idx="394">
                  <c:v>5893275.96</c:v>
                </c:pt>
                <c:pt idx="395">
                  <c:v>2693170.96</c:v>
                </c:pt>
                <c:pt idx="396">
                  <c:v>11199808.18</c:v>
                </c:pt>
                <c:pt idx="397">
                  <c:v>1130980.9679999999</c:v>
                </c:pt>
                <c:pt idx="398">
                  <c:v>4041798.696</c:v>
                </c:pt>
                <c:pt idx="399">
                  <c:v>7371354.743999999</c:v>
                </c:pt>
                <c:pt idx="400">
                  <c:v>2634855.4440000001</c:v>
                </c:pt>
                <c:pt idx="401">
                  <c:v>12711004.955999998</c:v>
                </c:pt>
                <c:pt idx="402">
                  <c:v>3378006.2159999995</c:v>
                </c:pt>
                <c:pt idx="403">
                  <c:v>2304596.69</c:v>
                </c:pt>
                <c:pt idx="404">
                  <c:v>7496029.0079999994</c:v>
                </c:pt>
                <c:pt idx="405">
                  <c:v>13673322</c:v>
                </c:pt>
                <c:pt idx="406">
                  <c:v>3090320.2</c:v>
                </c:pt>
                <c:pt idx="407">
                  <c:v>7286933.1600000001</c:v>
                </c:pt>
                <c:pt idx="408">
                  <c:v>10328574.204</c:v>
                </c:pt>
                <c:pt idx="409">
                  <c:v>17958791.920000002</c:v>
                </c:pt>
                <c:pt idx="410">
                  <c:v>6580812.8200000003</c:v>
                </c:pt>
                <c:pt idx="411">
                  <c:v>12891323.483999999</c:v>
                </c:pt>
                <c:pt idx="412">
                  <c:v>3247479.1439999999</c:v>
                </c:pt>
                <c:pt idx="413">
                  <c:v>3689485.9559999998</c:v>
                </c:pt>
                <c:pt idx="414">
                  <c:v>12249949.607999999</c:v>
                </c:pt>
                <c:pt idx="415">
                  <c:v>9726919.9560000002</c:v>
                </c:pt>
                <c:pt idx="416">
                  <c:v>9859286.1600000001</c:v>
                </c:pt>
                <c:pt idx="417">
                  <c:v>3243945.2760000001</c:v>
                </c:pt>
                <c:pt idx="418">
                  <c:v>6872206.5359999994</c:v>
                </c:pt>
                <c:pt idx="419">
                  <c:v>7545550.8959999997</c:v>
                </c:pt>
                <c:pt idx="420">
                  <c:v>2992224.9239999996</c:v>
                </c:pt>
                <c:pt idx="421">
                  <c:v>467509.06799999997</c:v>
                </c:pt>
                <c:pt idx="422">
                  <c:v>7588997.2079999996</c:v>
                </c:pt>
                <c:pt idx="423">
                  <c:v>7286933.1600000001</c:v>
                </c:pt>
                <c:pt idx="424">
                  <c:v>11165704.523999998</c:v>
                </c:pt>
                <c:pt idx="425">
                  <c:v>7286933.1600000001</c:v>
                </c:pt>
                <c:pt idx="426">
                  <c:v>12467357.136</c:v>
                </c:pt>
                <c:pt idx="427">
                  <c:v>3252280.72</c:v>
                </c:pt>
                <c:pt idx="428">
                  <c:v>62817</c:v>
                </c:pt>
                <c:pt idx="429">
                  <c:v>7778946.7079999996</c:v>
                </c:pt>
                <c:pt idx="430">
                  <c:v>10851758.891999999</c:v>
                </c:pt>
                <c:pt idx="431">
                  <c:v>5962196.9159999993</c:v>
                </c:pt>
                <c:pt idx="432">
                  <c:v>7879530.2039999999</c:v>
                </c:pt>
                <c:pt idx="433">
                  <c:v>3597572.1599999997</c:v>
                </c:pt>
                <c:pt idx="434">
                  <c:v>9998800.3499999996</c:v>
                </c:pt>
                <c:pt idx="435">
                  <c:v>6872562.7800000003</c:v>
                </c:pt>
                <c:pt idx="436">
                  <c:v>11914760.988</c:v>
                </c:pt>
                <c:pt idx="437">
                  <c:v>12290842.979999999</c:v>
                </c:pt>
                <c:pt idx="438">
                  <c:v>13432877.639999999</c:v>
                </c:pt>
                <c:pt idx="439">
                  <c:v>8316561.2399999993</c:v>
                </c:pt>
                <c:pt idx="440">
                  <c:v>6640232.9759999998</c:v>
                </c:pt>
                <c:pt idx="441">
                  <c:v>13730383.367999999</c:v>
                </c:pt>
                <c:pt idx="442">
                  <c:v>745768.29599999997</c:v>
                </c:pt>
                <c:pt idx="443">
                  <c:v>4652993.5920000002</c:v>
                </c:pt>
                <c:pt idx="444">
                  <c:v>13542673.715999998</c:v>
                </c:pt>
                <c:pt idx="445">
                  <c:v>3089935.86</c:v>
                </c:pt>
                <c:pt idx="446">
                  <c:v>5704665</c:v>
                </c:pt>
                <c:pt idx="447">
                  <c:v>4991459.148</c:v>
                </c:pt>
                <c:pt idx="448">
                  <c:v>7286933.1600000001</c:v>
                </c:pt>
                <c:pt idx="449">
                  <c:v>2881268.2079999996</c:v>
                </c:pt>
                <c:pt idx="450">
                  <c:v>613028.98800000001</c:v>
                </c:pt>
                <c:pt idx="451">
                  <c:v>6644896.5959999999</c:v>
                </c:pt>
                <c:pt idx="452">
                  <c:v>7532626.6079999991</c:v>
                </c:pt>
                <c:pt idx="453">
                  <c:v>6823110.3099999996</c:v>
                </c:pt>
                <c:pt idx="454">
                  <c:v>3453740.784</c:v>
                </c:pt>
                <c:pt idx="455">
                  <c:v>7090747.5600000005</c:v>
                </c:pt>
                <c:pt idx="456">
                  <c:v>7286933.1600000001</c:v>
                </c:pt>
                <c:pt idx="457">
                  <c:v>7318073.9000000004</c:v>
                </c:pt>
                <c:pt idx="458">
                  <c:v>8803340.0399999991</c:v>
                </c:pt>
                <c:pt idx="459">
                  <c:v>680555.772</c:v>
                </c:pt>
                <c:pt idx="460">
                  <c:v>3377321.0639999998</c:v>
                </c:pt>
                <c:pt idx="461">
                  <c:v>9247854.095999999</c:v>
                </c:pt>
                <c:pt idx="462">
                  <c:v>4057228.6559999995</c:v>
                </c:pt>
                <c:pt idx="463">
                  <c:v>1148231.916</c:v>
                </c:pt>
                <c:pt idx="464">
                  <c:v>5049848.25</c:v>
                </c:pt>
                <c:pt idx="465">
                  <c:v>9040503.8880000003</c:v>
                </c:pt>
                <c:pt idx="466">
                  <c:v>8009911.7279999992</c:v>
                </c:pt>
                <c:pt idx="467">
                  <c:v>9277127.027999999</c:v>
                </c:pt>
                <c:pt idx="468">
                  <c:v>12868170.587999998</c:v>
                </c:pt>
                <c:pt idx="469">
                  <c:v>12516866.387999998</c:v>
                </c:pt>
                <c:pt idx="470">
                  <c:v>2718207.07</c:v>
                </c:pt>
                <c:pt idx="471">
                  <c:v>1043588.9879999999</c:v>
                </c:pt>
                <c:pt idx="472">
                  <c:v>6875106.2640000004</c:v>
                </c:pt>
                <c:pt idx="473">
                  <c:v>11648856.023999998</c:v>
                </c:pt>
                <c:pt idx="474">
                  <c:v>10115519.543999998</c:v>
                </c:pt>
                <c:pt idx="475">
                  <c:v>12849738.390000001</c:v>
                </c:pt>
                <c:pt idx="476">
                  <c:v>2558174.73</c:v>
                </c:pt>
                <c:pt idx="477">
                  <c:v>11629112.52</c:v>
                </c:pt>
                <c:pt idx="478">
                  <c:v>3745234.1159999995</c:v>
                </c:pt>
                <c:pt idx="479">
                  <c:v>7286933.1600000001</c:v>
                </c:pt>
                <c:pt idx="480">
                  <c:v>15639384.689999999</c:v>
                </c:pt>
                <c:pt idx="481">
                  <c:v>1008749.04</c:v>
                </c:pt>
                <c:pt idx="482">
                  <c:v>8710620.0479999986</c:v>
                </c:pt>
                <c:pt idx="483">
                  <c:v>257843.66399999996</c:v>
                </c:pt>
                <c:pt idx="484">
                  <c:v>4201847.5199999996</c:v>
                </c:pt>
                <c:pt idx="485">
                  <c:v>10880744.471999999</c:v>
                </c:pt>
                <c:pt idx="486">
                  <c:v>291049618.67599994</c:v>
                </c:pt>
                <c:pt idx="487">
                  <c:v>12043212.48</c:v>
                </c:pt>
                <c:pt idx="488">
                  <c:v>7286933.1600000001</c:v>
                </c:pt>
                <c:pt idx="489">
                  <c:v>10102652.819999998</c:v>
                </c:pt>
                <c:pt idx="490">
                  <c:v>4845673.84</c:v>
                </c:pt>
                <c:pt idx="491">
                  <c:v>5310012.7079999996</c:v>
                </c:pt>
                <c:pt idx="492">
                  <c:v>3880122.48</c:v>
                </c:pt>
                <c:pt idx="493">
                  <c:v>19212038.66</c:v>
                </c:pt>
                <c:pt idx="494">
                  <c:v>12487801.247999998</c:v>
                </c:pt>
                <c:pt idx="495">
                  <c:v>7286933.1600000001</c:v>
                </c:pt>
                <c:pt idx="496">
                  <c:v>9903714.4439999983</c:v>
                </c:pt>
                <c:pt idx="497">
                  <c:v>13791349.728</c:v>
                </c:pt>
                <c:pt idx="498">
                  <c:v>10901173.139999999</c:v>
                </c:pt>
                <c:pt idx="499">
                  <c:v>4218244.5239999993</c:v>
                </c:pt>
                <c:pt idx="500">
                  <c:v>9141740.7119999994</c:v>
                </c:pt>
                <c:pt idx="501">
                  <c:v>11872049.435999999</c:v>
                </c:pt>
                <c:pt idx="502">
                  <c:v>425044.95</c:v>
                </c:pt>
                <c:pt idx="503">
                  <c:v>9840414.6359999981</c:v>
                </c:pt>
                <c:pt idx="504">
                  <c:v>10859133.635999998</c:v>
                </c:pt>
                <c:pt idx="505">
                  <c:v>1079899.1599999999</c:v>
                </c:pt>
                <c:pt idx="506">
                  <c:v>143934.54</c:v>
                </c:pt>
              </c:numCache>
            </c:numRef>
          </c:val>
          <c:extLst>
            <c:ext xmlns:c16="http://schemas.microsoft.com/office/drawing/2014/chart" uri="{C3380CC4-5D6E-409C-BE32-E72D297353CC}">
              <c16:uniqueId val="{00000000-9691-429A-868F-6B9FDC1E59F2}"/>
            </c:ext>
          </c:extLst>
        </c:ser>
        <c:dLbls>
          <c:showLegendKey val="0"/>
          <c:showVal val="0"/>
          <c:showCatName val="0"/>
          <c:showSerName val="0"/>
          <c:showPercent val="0"/>
          <c:showBubbleSize val="0"/>
        </c:dLbls>
        <c:gapWidth val="219"/>
        <c:axId val="749840112"/>
        <c:axId val="749835120"/>
      </c:barChart>
      <c:catAx>
        <c:axId val="7498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35120"/>
        <c:crosses val="autoZero"/>
        <c:auto val="1"/>
        <c:lblAlgn val="ctr"/>
        <c:lblOffset val="100"/>
        <c:noMultiLvlLbl val="0"/>
      </c:catAx>
      <c:valAx>
        <c:axId val="749835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840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 Price of Each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pivotFmt>
      <c:pivotFmt>
        <c:idx val="2"/>
        <c:spPr>
          <a:solidFill>
            <a:schemeClr val="tx1"/>
          </a:solidFill>
          <a:ln w="19050">
            <a:solidFill>
              <a:schemeClr val="lt1"/>
            </a:solidFill>
          </a:ln>
          <a:effectLst/>
        </c:spPr>
      </c:pivotFmt>
      <c:pivotFmt>
        <c:idx val="3"/>
        <c:spPr>
          <a:solidFill>
            <a:schemeClr val="bg1">
              <a:lumMod val="50000"/>
            </a:schemeClr>
          </a:solidFill>
          <a:ln w="19050">
            <a:solidFill>
              <a:schemeClr val="lt1"/>
            </a:solidFill>
          </a:ln>
          <a:effectLst/>
        </c:spPr>
      </c:pivotFmt>
      <c:pivotFmt>
        <c:idx val="4"/>
        <c:spPr>
          <a:solidFill>
            <a:schemeClr val="tx2">
              <a:lumMod val="20000"/>
              <a:lumOff val="80000"/>
            </a:schemeClr>
          </a:solidFill>
          <a:ln w="19050">
            <a:solidFill>
              <a:schemeClr val="lt1"/>
            </a:solidFill>
          </a:ln>
          <a:effectLst/>
        </c:spPr>
      </c:pivotFmt>
      <c:pivotFmt>
        <c:idx val="5"/>
        <c:spPr>
          <a:solidFill>
            <a:schemeClr val="tx2">
              <a:lumMod val="75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w="19050">
            <a:solidFill>
              <a:schemeClr val="lt1"/>
            </a:solidFill>
          </a:ln>
          <a:effectLst/>
        </c:spPr>
      </c:pivotFmt>
      <c:pivotFmt>
        <c:idx val="12"/>
        <c:spPr>
          <a:solidFill>
            <a:schemeClr val="accent6">
              <a:lumMod val="20000"/>
              <a:lumOff val="80000"/>
            </a:schemeClr>
          </a:solidFill>
          <a:ln w="19050">
            <a:solidFill>
              <a:schemeClr val="lt1"/>
            </a:solidFill>
          </a:ln>
          <a:effectLst/>
        </c:spPr>
      </c:pivotFmt>
      <c:pivotFmt>
        <c:idx val="13"/>
        <c:spPr>
          <a:solidFill>
            <a:schemeClr val="accent1">
              <a:lumMod val="60000"/>
              <a:lumOff val="40000"/>
            </a:schemeClr>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chemeClr val="tx2">
              <a:lumMod val="75000"/>
            </a:schemeClr>
          </a:solidFill>
          <a:ln w="19050">
            <a:solidFill>
              <a:schemeClr val="lt1"/>
            </a:solidFill>
          </a:ln>
          <a:effectLst/>
        </c:spPr>
      </c:pivotFmt>
      <c:pivotFmt>
        <c:idx val="16"/>
        <c:spPr>
          <a:solidFill>
            <a:schemeClr val="tx2">
              <a:lumMod val="20000"/>
              <a:lumOff val="80000"/>
            </a:schemeClr>
          </a:solidFill>
          <a:ln w="19050">
            <a:solidFill>
              <a:schemeClr val="lt1"/>
            </a:solidFill>
          </a:ln>
          <a:effectLst/>
        </c:spPr>
      </c:pivotFmt>
      <c:pivotFmt>
        <c:idx val="17"/>
        <c:spPr>
          <a:solidFill>
            <a:schemeClr val="bg1">
              <a:lumMod val="50000"/>
            </a:schemeClr>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1"/>
        <c:spPr>
          <a:solidFill>
            <a:schemeClr val="accent5"/>
          </a:solidFill>
          <a:ln w="19050">
            <a:solidFill>
              <a:schemeClr val="lt1"/>
            </a:solidFill>
          </a:ln>
          <a:effectLst/>
        </c:spPr>
      </c:pivotFmt>
      <c:pivotFmt>
        <c:idx val="22"/>
        <c:spPr>
          <a:solidFill>
            <a:schemeClr val="accent6">
              <a:lumMod val="20000"/>
              <a:lumOff val="80000"/>
            </a:schemeClr>
          </a:solidFill>
          <a:ln w="19050">
            <a:solidFill>
              <a:schemeClr val="lt1"/>
            </a:solidFill>
          </a:ln>
          <a:effectLst/>
        </c:spPr>
      </c:pivotFmt>
      <c:pivotFmt>
        <c:idx val="23"/>
        <c:spPr>
          <a:solidFill>
            <a:schemeClr val="accent1">
              <a:lumMod val="60000"/>
              <a:lumOff val="40000"/>
            </a:schemeClr>
          </a:solidFill>
          <a:ln w="19050">
            <a:solidFill>
              <a:schemeClr val="lt1"/>
            </a:solidFill>
          </a:ln>
          <a:effectLst/>
        </c:spPr>
      </c:pivotFmt>
      <c:pivotFmt>
        <c:idx val="24"/>
        <c:spPr>
          <a:solidFill>
            <a:schemeClr val="accent1">
              <a:lumMod val="50000"/>
            </a:schemeClr>
          </a:solidFill>
          <a:ln w="19050">
            <a:solidFill>
              <a:schemeClr val="lt1"/>
            </a:solidFill>
          </a:ln>
          <a:effectLst/>
        </c:spPr>
      </c:pivotFmt>
      <c:pivotFmt>
        <c:idx val="25"/>
        <c:spPr>
          <a:solidFill>
            <a:schemeClr val="tx2">
              <a:lumMod val="75000"/>
            </a:schemeClr>
          </a:solidFill>
          <a:ln w="19050">
            <a:solidFill>
              <a:schemeClr val="lt1"/>
            </a:solidFill>
          </a:ln>
          <a:effectLst/>
        </c:spPr>
      </c:pivotFmt>
      <c:pivotFmt>
        <c:idx val="26"/>
        <c:spPr>
          <a:solidFill>
            <a:schemeClr val="tx2">
              <a:lumMod val="20000"/>
              <a:lumOff val="80000"/>
            </a:schemeClr>
          </a:solidFill>
          <a:ln w="19050">
            <a:solidFill>
              <a:schemeClr val="lt1"/>
            </a:solidFill>
          </a:ln>
          <a:effectLst/>
        </c:spPr>
      </c:pivotFmt>
      <c:pivotFmt>
        <c:idx val="27"/>
        <c:spPr>
          <a:solidFill>
            <a:schemeClr val="bg1">
              <a:lumMod val="50000"/>
            </a:schemeClr>
          </a:solidFill>
          <a:ln w="19050">
            <a:solidFill>
              <a:schemeClr val="lt1"/>
            </a:solidFill>
          </a:ln>
          <a:effectLst/>
        </c:spPr>
      </c:pivotFmt>
      <c:pivotFmt>
        <c:idx val="28"/>
        <c:spPr>
          <a:solidFill>
            <a:schemeClr val="tx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Sheet3!$B$577</c:f>
              <c:strCache>
                <c:ptCount val="1"/>
                <c:pt idx="0">
                  <c:v>Total</c:v>
                </c:pt>
              </c:strCache>
            </c:strRef>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A93-4105-9664-C36371B67D7B}"/>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0A93-4105-9664-C36371B67D7B}"/>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0A93-4105-9664-C36371B67D7B}"/>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7-0A93-4105-9664-C36371B67D7B}"/>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9-0A93-4105-9664-C36371B67D7B}"/>
              </c:ext>
            </c:extLst>
          </c:dPt>
          <c:dPt>
            <c:idx val="5"/>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B-0A93-4105-9664-C36371B67D7B}"/>
              </c:ext>
            </c:extLst>
          </c:dPt>
          <c:dPt>
            <c:idx val="6"/>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D-0A93-4105-9664-C36371B67D7B}"/>
              </c:ext>
            </c:extLst>
          </c:dPt>
          <c:dPt>
            <c:idx val="7"/>
            <c:bubble3D val="0"/>
            <c:spPr>
              <a:solidFill>
                <a:schemeClr val="tx1"/>
              </a:solidFill>
              <a:ln w="19050">
                <a:solidFill>
                  <a:schemeClr val="lt1"/>
                </a:solidFill>
              </a:ln>
              <a:effectLst/>
            </c:spPr>
            <c:extLst>
              <c:ext xmlns:c16="http://schemas.microsoft.com/office/drawing/2014/chart" uri="{C3380CC4-5D6E-409C-BE32-E72D297353CC}">
                <c16:uniqueId val="{0000000F-0A93-4105-9664-C36371B67D7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A93-4105-9664-C36371B67D7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Sheet3!$A$578:$A$587</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Sheet3!$B$578:$B$587</c:f>
              <c:numCache>
                <c:formatCode>General</c:formatCode>
                <c:ptCount val="9"/>
                <c:pt idx="0">
                  <c:v>134386.55384615384</c:v>
                </c:pt>
                <c:pt idx="1">
                  <c:v>150674.52440677967</c:v>
                </c:pt>
                <c:pt idx="2">
                  <c:v>157109.94508771924</c:v>
                </c:pt>
                <c:pt idx="3">
                  <c:v>168806.10370786514</c:v>
                </c:pt>
                <c:pt idx="4">
                  <c:v>148867.81805970141</c:v>
                </c:pt>
                <c:pt idx="5">
                  <c:v>153068.32380281694</c:v>
                </c:pt>
                <c:pt idx="6">
                  <c:v>173245.04228070169</c:v>
                </c:pt>
                <c:pt idx="7">
                  <c:v>156660.46305882357</c:v>
                </c:pt>
              </c:numCache>
            </c:numRef>
          </c:val>
          <c:extLst>
            <c:ext xmlns:c16="http://schemas.microsoft.com/office/drawing/2014/chart" uri="{C3380CC4-5D6E-409C-BE32-E72D297353CC}">
              <c16:uniqueId val="{00000012-0A93-4105-9664-C36371B67D7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Units</a:t>
            </a:r>
            <a:r>
              <a:rPr lang="en-US" baseline="0">
                <a:latin typeface="Times New Roman" panose="02020603050405020304" pitchFamily="18" charset="0"/>
                <a:cs typeface="Times New Roman" panose="02020603050405020304" pitchFamily="18" charset="0"/>
              </a:rPr>
              <a:t> Sold per product</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lumMod val="50000"/>
            </a:schemeClr>
          </a:solidFill>
          <a:ln w="19050">
            <a:solidFill>
              <a:schemeClr val="lt1"/>
            </a:solidFill>
          </a:ln>
          <a:effectLst/>
        </c:spPr>
        <c:dLbl>
          <c:idx val="0"/>
          <c:layout>
            <c:manualLayout>
              <c:x val="5.83333333333333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bg1">
              <a:lumMod val="85000"/>
            </a:schemeClr>
          </a:solidFill>
          <a:ln w="19050">
            <a:solidFill>
              <a:schemeClr val="lt1"/>
            </a:solidFill>
          </a:ln>
          <a:effectLst/>
        </c:spPr>
        <c:dLbl>
          <c:idx val="0"/>
          <c:layout>
            <c:manualLayout>
              <c:x val="5.8333333333333334E-2"/>
              <c:y val="-3.70370370370370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75000"/>
            </a:schemeClr>
          </a:solidFill>
          <a:ln w="19050">
            <a:solidFill>
              <a:schemeClr val="lt1"/>
            </a:solidFill>
          </a:ln>
          <a:effectLst/>
        </c:spPr>
      </c:pivotFmt>
      <c:pivotFmt>
        <c:idx val="4"/>
        <c:spPr>
          <a:solidFill>
            <a:schemeClr val="tx2">
              <a:lumMod val="60000"/>
              <a:lumOff val="40000"/>
            </a:schemeClr>
          </a:solidFill>
          <a:ln w="19050">
            <a:solidFill>
              <a:schemeClr val="lt1"/>
            </a:solidFill>
          </a:ln>
          <a:effectLst/>
        </c:spPr>
        <c:dLbl>
          <c:idx val="0"/>
          <c:layout>
            <c:manualLayout>
              <c:x val="-4.166666666666666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4.4444444444444467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50000"/>
            </a:schemeClr>
          </a:solidFill>
          <a:ln w="19050">
            <a:solidFill>
              <a:schemeClr val="lt1"/>
            </a:solidFill>
          </a:ln>
          <a:effectLst/>
        </c:spPr>
        <c:dLbl>
          <c:idx val="0"/>
          <c:layout>
            <c:manualLayout>
              <c:x val="-3.6111111111111108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722222222222224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85000"/>
            </a:schemeClr>
          </a:solidFill>
          <a:ln w="19050">
            <a:solidFill>
              <a:schemeClr val="lt1"/>
            </a:solidFill>
          </a:ln>
          <a:effectLst/>
        </c:spPr>
        <c:dLbl>
          <c:idx val="0"/>
          <c:layout>
            <c:manualLayout>
              <c:x val="5.8333333333333334E-2"/>
              <c:y val="-3.70370370370370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2">
              <a:lumMod val="50000"/>
            </a:schemeClr>
          </a:solidFill>
          <a:ln w="19050">
            <a:solidFill>
              <a:schemeClr val="lt1"/>
            </a:solidFill>
          </a:ln>
          <a:effectLst/>
        </c:spPr>
        <c:dLbl>
          <c:idx val="0"/>
          <c:layout>
            <c:manualLayout>
              <c:x val="5.83333333333333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tx2">
              <a:lumMod val="75000"/>
            </a:schemeClr>
          </a:solidFill>
          <a:ln w="19050">
            <a:solidFill>
              <a:schemeClr val="lt1"/>
            </a:solidFill>
          </a:ln>
          <a:effectLst/>
        </c:spPr>
      </c:pivotFmt>
      <c:pivotFmt>
        <c:idx val="15"/>
        <c:spPr>
          <a:solidFill>
            <a:schemeClr val="tx2">
              <a:lumMod val="60000"/>
              <a:lumOff val="40000"/>
            </a:schemeClr>
          </a:solidFill>
          <a:ln w="19050">
            <a:solidFill>
              <a:schemeClr val="lt1"/>
            </a:solidFill>
          </a:ln>
          <a:effectLst/>
        </c:spPr>
        <c:dLbl>
          <c:idx val="0"/>
          <c:layout>
            <c:manualLayout>
              <c:x val="-4.166666666666666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lumMod val="40000"/>
              <a:lumOff val="60000"/>
            </a:schemeClr>
          </a:solidFill>
          <a:ln w="19050">
            <a:solidFill>
              <a:schemeClr val="lt1"/>
            </a:solidFill>
          </a:ln>
          <a:effectLst/>
        </c:spPr>
        <c:dLbl>
          <c:idx val="0"/>
          <c:layout>
            <c:manualLayout>
              <c:x val="-4.4444444444444467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4.722222222222224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lumMod val="50000"/>
            </a:schemeClr>
          </a:solidFill>
          <a:ln w="19050">
            <a:solidFill>
              <a:schemeClr val="lt1"/>
            </a:solidFill>
          </a:ln>
          <a:effectLst/>
        </c:spPr>
        <c:dLbl>
          <c:idx val="0"/>
          <c:layout>
            <c:manualLayout>
              <c:x val="-3.6111111111111108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1"/>
        <c:spPr>
          <a:solidFill>
            <a:schemeClr val="bg1">
              <a:lumMod val="85000"/>
            </a:schemeClr>
          </a:solidFill>
          <a:ln w="19050">
            <a:solidFill>
              <a:schemeClr val="lt1"/>
            </a:solidFill>
          </a:ln>
          <a:effectLst/>
        </c:spPr>
        <c:dLbl>
          <c:idx val="0"/>
          <c:layout>
            <c:manualLayout>
              <c:x val="5.8333333333333334E-2"/>
              <c:y val="-3.70370370370370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2"/>
        <c:spPr>
          <a:solidFill>
            <a:schemeClr val="bg2">
              <a:lumMod val="50000"/>
            </a:schemeClr>
          </a:solidFill>
          <a:ln w="19050">
            <a:solidFill>
              <a:schemeClr val="lt1"/>
            </a:solidFill>
          </a:ln>
          <a:effectLst/>
        </c:spPr>
        <c:dLbl>
          <c:idx val="0"/>
          <c:layout>
            <c:manualLayout>
              <c:x val="5.83333333333333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3"/>
        <c:spPr>
          <a:solidFill>
            <a:schemeClr val="accent1"/>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4"/>
        <c:spPr>
          <a:solidFill>
            <a:schemeClr val="tx2">
              <a:lumMod val="75000"/>
            </a:schemeClr>
          </a:solidFill>
          <a:ln w="19050">
            <a:solidFill>
              <a:schemeClr val="lt1"/>
            </a:solidFill>
          </a:ln>
          <a:effectLst/>
        </c:spPr>
      </c:pivotFmt>
      <c:pivotFmt>
        <c:idx val="25"/>
        <c:spPr>
          <a:solidFill>
            <a:schemeClr val="tx2">
              <a:lumMod val="60000"/>
              <a:lumOff val="40000"/>
            </a:schemeClr>
          </a:solidFill>
          <a:ln w="19050">
            <a:solidFill>
              <a:schemeClr val="lt1"/>
            </a:solidFill>
          </a:ln>
          <a:effectLst/>
        </c:spPr>
        <c:dLbl>
          <c:idx val="0"/>
          <c:layout>
            <c:manualLayout>
              <c:x val="-4.166666666666666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6"/>
        <c:spPr>
          <a:solidFill>
            <a:schemeClr val="accent6">
              <a:lumMod val="40000"/>
              <a:lumOff val="60000"/>
            </a:schemeClr>
          </a:solidFill>
          <a:ln w="19050">
            <a:solidFill>
              <a:schemeClr val="lt1"/>
            </a:solidFill>
          </a:ln>
          <a:effectLst/>
        </c:spPr>
        <c:dLbl>
          <c:idx val="0"/>
          <c:layout>
            <c:manualLayout>
              <c:x val="-4.4444444444444467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7"/>
        <c:spPr>
          <a:solidFill>
            <a:schemeClr val="accent1"/>
          </a:solidFill>
          <a:ln w="19050">
            <a:solidFill>
              <a:schemeClr val="lt1"/>
            </a:solidFill>
          </a:ln>
          <a:effectLst/>
        </c:spPr>
        <c:dLbl>
          <c:idx val="0"/>
          <c:layout>
            <c:manualLayout>
              <c:x val="-4.7222222222222249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8"/>
        <c:spPr>
          <a:solidFill>
            <a:schemeClr val="accent4">
              <a:lumMod val="50000"/>
            </a:schemeClr>
          </a:solidFill>
          <a:ln w="19050">
            <a:solidFill>
              <a:schemeClr val="lt1"/>
            </a:solidFill>
          </a:ln>
          <a:effectLst/>
        </c:spPr>
        <c:dLbl>
          <c:idx val="0"/>
          <c:layout>
            <c:manualLayout>
              <c:x val="-3.6111111111111108E-2"/>
              <c:y val="-6.9444444444444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9"/>
        <c:spPr>
          <a:solidFill>
            <a:schemeClr val="accent1"/>
          </a:solidFill>
          <a:ln w="19050">
            <a:solidFill>
              <a:schemeClr val="lt1"/>
            </a:solidFill>
          </a:ln>
          <a:effectLst/>
        </c:spPr>
      </c:pivotFmt>
    </c:pivotFmts>
    <c:plotArea>
      <c:layout/>
      <c:doughnutChart>
        <c:varyColors val="1"/>
        <c:ser>
          <c:idx val="0"/>
          <c:order val="0"/>
          <c:tx>
            <c:strRef>
              <c:f>Sheet3!$B$592</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FDE-450F-B6A4-093051C6F9BD}"/>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9FDE-450F-B6A4-093051C6F9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E-450F-B6A4-093051C6F9BD}"/>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7-9FDE-450F-B6A4-093051C6F9BD}"/>
              </c:ext>
            </c:extLst>
          </c:dPt>
          <c:dPt>
            <c:idx val="4"/>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9-9FDE-450F-B6A4-093051C6F9BD}"/>
              </c:ext>
            </c:extLst>
          </c:dPt>
          <c:dPt>
            <c:idx val="5"/>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B-9FDE-450F-B6A4-093051C6F9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DE-450F-B6A4-093051C6F9BD}"/>
              </c:ext>
            </c:extLst>
          </c:dPt>
          <c:dPt>
            <c:idx val="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F-9FDE-450F-B6A4-093051C6F9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DE-450F-B6A4-093051C6F9BD}"/>
              </c:ext>
            </c:extLst>
          </c:dPt>
          <c:dLbls>
            <c:dLbl>
              <c:idx val="0"/>
              <c:layout>
                <c:manualLayout>
                  <c:x val="5.8333333333333334E-2"/>
                  <c:y val="-3.703703703703705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9FDE-450F-B6A4-093051C6F9BD}"/>
                </c:ext>
              </c:extLst>
            </c:dLbl>
            <c:dLbl>
              <c:idx val="1"/>
              <c:layout>
                <c:manualLayout>
                  <c:x val="5.8333333333333334E-2"/>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9FDE-450F-B6A4-093051C6F9BD}"/>
                </c:ext>
              </c:extLst>
            </c:dLbl>
            <c:dLbl>
              <c:idx val="2"/>
              <c:layout>
                <c:manualLayout>
                  <c:x val="2.2222222222222223E-2"/>
                  <c:y val="0"/>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9FDE-450F-B6A4-093051C6F9BD}"/>
                </c:ext>
              </c:extLst>
            </c:dLbl>
            <c:dLbl>
              <c:idx val="4"/>
              <c:layout>
                <c:manualLayout>
                  <c:x val="-4.1666666666666664E-2"/>
                  <c:y val="2.777777777777777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9FDE-450F-B6A4-093051C6F9BD}"/>
                </c:ext>
              </c:extLst>
            </c:dLbl>
            <c:dLbl>
              <c:idx val="5"/>
              <c:layout>
                <c:manualLayout>
                  <c:x val="-4.4444444444444467E-2"/>
                  <c:y val="4.6296296296296294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9FDE-450F-B6A4-093051C6F9BD}"/>
                </c:ext>
              </c:extLst>
            </c:dLbl>
            <c:dLbl>
              <c:idx val="6"/>
              <c:layout>
                <c:manualLayout>
                  <c:x val="-4.7222222222222249E-2"/>
                  <c:y val="-5.555555555555555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9FDE-450F-B6A4-093051C6F9BD}"/>
                </c:ext>
              </c:extLst>
            </c:dLbl>
            <c:dLbl>
              <c:idx val="7"/>
              <c:layout>
                <c:manualLayout>
                  <c:x val="-3.6111111111111108E-2"/>
                  <c:y val="-6.944444444444446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9FDE-450F-B6A4-093051C6F9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Sheet3!$A$593:$A$602</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Sheet3!$B$593:$B$602</c:f>
              <c:numCache>
                <c:formatCode>General</c:formatCode>
                <c:ptCount val="9"/>
                <c:pt idx="0">
                  <c:v>2875.0000000000009</c:v>
                </c:pt>
                <c:pt idx="1">
                  <c:v>2768.2000000000016</c:v>
                </c:pt>
                <c:pt idx="2">
                  <c:v>2784.6000000000004</c:v>
                </c:pt>
                <c:pt idx="3">
                  <c:v>4351.6000000000049</c:v>
                </c:pt>
                <c:pt idx="4">
                  <c:v>2970.2000000000016</c:v>
                </c:pt>
                <c:pt idx="5">
                  <c:v>3102.6000000000022</c:v>
                </c:pt>
                <c:pt idx="6">
                  <c:v>2843.2000000000007</c:v>
                </c:pt>
                <c:pt idx="7">
                  <c:v>4053.6000000000049</c:v>
                </c:pt>
              </c:numCache>
            </c:numRef>
          </c:val>
          <c:extLst>
            <c:ext xmlns:c16="http://schemas.microsoft.com/office/drawing/2014/chart" uri="{C3380CC4-5D6E-409C-BE32-E72D297353CC}">
              <c16:uniqueId val="{00000012-9FDE-450F-B6A4-093051C6F9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Average of  Sales Per State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865244154043144"/>
          <c:y val="0.12928650527075725"/>
          <c:w val="0.79376414155127162"/>
          <c:h val="0.73593598003046823"/>
        </c:manualLayout>
      </c:layout>
      <c:barChart>
        <c:barDir val="bar"/>
        <c:grouping val="clustered"/>
        <c:varyColors val="0"/>
        <c:ser>
          <c:idx val="0"/>
          <c:order val="0"/>
          <c:tx>
            <c:strRef>
              <c:f>Sheet3!$B$607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Sheet3!$A$608:$A$629</c:f>
              <c:strCache>
                <c:ptCount val="21"/>
                <c:pt idx="0">
                  <c:v>Abuja</c:v>
                </c:pt>
                <c:pt idx="1">
                  <c:v>Anambra</c:v>
                </c:pt>
                <c:pt idx="2">
                  <c:v>Bauchi</c:v>
                </c:pt>
                <c:pt idx="3">
                  <c:v>Benue</c:v>
                </c:pt>
                <c:pt idx="4">
                  <c:v>Borno</c:v>
                </c:pt>
                <c:pt idx="5">
                  <c:v>Cross River</c:v>
                </c:pt>
                <c:pt idx="6">
                  <c:v>Delta</c:v>
                </c:pt>
                <c:pt idx="7">
                  <c:v>Ekiti</c:v>
                </c:pt>
                <c:pt idx="8">
                  <c:v>Enugu</c:v>
                </c:pt>
                <c:pt idx="9">
                  <c:v>Imo</c:v>
                </c:pt>
                <c:pt idx="10">
                  <c:v>Kaduna</c:v>
                </c:pt>
                <c:pt idx="11">
                  <c:v>Kano</c:v>
                </c:pt>
                <c:pt idx="12">
                  <c:v>Katsina</c:v>
                </c:pt>
                <c:pt idx="13">
                  <c:v>Lagos</c:v>
                </c:pt>
                <c:pt idx="14">
                  <c:v>Niger</c:v>
                </c:pt>
                <c:pt idx="15">
                  <c:v>Osun</c:v>
                </c:pt>
                <c:pt idx="16">
                  <c:v>Oyo </c:v>
                </c:pt>
                <c:pt idx="17">
                  <c:v>Plateau</c:v>
                </c:pt>
                <c:pt idx="18">
                  <c:v>Rivers</c:v>
                </c:pt>
                <c:pt idx="19">
                  <c:v>Sokoto</c:v>
                </c:pt>
                <c:pt idx="20">
                  <c:v>(blank)</c:v>
                </c:pt>
              </c:strCache>
            </c:strRef>
          </c:cat>
          <c:val>
            <c:numRef>
              <c:f>Sheet3!$B$608:$B$629</c:f>
              <c:numCache>
                <c:formatCode>General</c:formatCode>
                <c:ptCount val="21"/>
                <c:pt idx="0">
                  <c:v>6031512.4164137943</c:v>
                </c:pt>
                <c:pt idx="1">
                  <c:v>6460976.9649999989</c:v>
                </c:pt>
                <c:pt idx="2">
                  <c:v>7220144.5178461531</c:v>
                </c:pt>
                <c:pt idx="3">
                  <c:v>7695543.9441599986</c:v>
                </c:pt>
                <c:pt idx="4">
                  <c:v>4954765.9078260856</c:v>
                </c:pt>
                <c:pt idx="5">
                  <c:v>7340944.9554117648</c:v>
                </c:pt>
                <c:pt idx="6">
                  <c:v>7414756.4107692316</c:v>
                </c:pt>
                <c:pt idx="7">
                  <c:v>6874457.7108888878</c:v>
                </c:pt>
                <c:pt idx="8">
                  <c:v>7070122.1466451604</c:v>
                </c:pt>
                <c:pt idx="9">
                  <c:v>7277400.2891578954</c:v>
                </c:pt>
                <c:pt idx="10">
                  <c:v>8766918.4960000012</c:v>
                </c:pt>
                <c:pt idx="11">
                  <c:v>8293315.760545454</c:v>
                </c:pt>
                <c:pt idx="12">
                  <c:v>8383507.7465599999</c:v>
                </c:pt>
                <c:pt idx="13">
                  <c:v>7426500.6264347797</c:v>
                </c:pt>
                <c:pt idx="14">
                  <c:v>6806601.4765806459</c:v>
                </c:pt>
                <c:pt idx="15">
                  <c:v>8910206.7986666653</c:v>
                </c:pt>
                <c:pt idx="16">
                  <c:v>8311724.1832800005</c:v>
                </c:pt>
                <c:pt idx="17">
                  <c:v>6252556.552083333</c:v>
                </c:pt>
                <c:pt idx="18">
                  <c:v>7396888.4985806439</c:v>
                </c:pt>
                <c:pt idx="19">
                  <c:v>7740087.6809999989</c:v>
                </c:pt>
              </c:numCache>
            </c:numRef>
          </c:val>
          <c:extLst>
            <c:ext xmlns:c16="http://schemas.microsoft.com/office/drawing/2014/chart" uri="{C3380CC4-5D6E-409C-BE32-E72D297353CC}">
              <c16:uniqueId val="{00000000-EB92-4A04-AC95-81C0A8CBE88E}"/>
            </c:ext>
          </c:extLst>
        </c:ser>
        <c:dLbls>
          <c:dLblPos val="outEnd"/>
          <c:showLegendKey val="0"/>
          <c:showVal val="1"/>
          <c:showCatName val="0"/>
          <c:showSerName val="0"/>
          <c:showPercent val="0"/>
          <c:showBubbleSize val="0"/>
        </c:dLbls>
        <c:gapWidth val="150"/>
        <c:axId val="14692543"/>
        <c:axId val="14701695"/>
      </c:barChart>
      <c:catAx>
        <c:axId val="1469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1695"/>
        <c:crosses val="autoZero"/>
        <c:auto val="1"/>
        <c:lblAlgn val="ctr"/>
        <c:lblOffset val="100"/>
        <c:noMultiLvlLbl val="0"/>
      </c:catAx>
      <c:valAx>
        <c:axId val="14701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5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Average</a:t>
            </a:r>
            <a:r>
              <a:rPr lang="en-US" sz="1200" baseline="0">
                <a:latin typeface="Times New Roman" panose="02020603050405020304" pitchFamily="18" charset="0"/>
                <a:cs typeface="Times New Roman" panose="02020603050405020304" pitchFamily="18" charset="0"/>
              </a:rPr>
              <a:t> Unit Price per product</a:t>
            </a:r>
            <a:endParaRPr lang="en-US" sz="1200">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5.83333333333332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1111111111111112E-2"/>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60000"/>
            </a:schemeClr>
          </a:solidFill>
          <a:ln w="19050">
            <a:solidFill>
              <a:schemeClr val="lt1"/>
            </a:solidFill>
          </a:ln>
          <a:effectLst/>
        </c:spPr>
        <c:dLbl>
          <c:idx val="0"/>
          <c:layout>
            <c:manualLayout>
              <c:x val="-6.1111111111111109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schemeClr>
          </a:solidFill>
          <a:ln w="19050">
            <a:solidFill>
              <a:schemeClr val="lt1"/>
            </a:solidFill>
          </a:ln>
          <a:effectLst/>
        </c:spPr>
        <c:dLbl>
          <c:idx val="0"/>
          <c:layout>
            <c:manualLayout>
              <c:x val="-3.333333333333336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dLbl>
          <c:idx val="0"/>
          <c:layout>
            <c:manualLayout>
              <c:x val="-3.333333333333333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dLbl>
          <c:idx val="0"/>
          <c:layout>
            <c:manualLayout>
              <c:x val="5.277777777777777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1111111111111112E-2"/>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83333333333332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5.277777777777777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3.333333333333333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3.333333333333336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6.1111111111111109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9"/>
        <c:spPr>
          <a:solidFill>
            <a:schemeClr val="accent1"/>
          </a:solidFill>
          <a:ln w="19050">
            <a:solidFill>
              <a:schemeClr val="lt1"/>
            </a:solidFill>
          </a:ln>
          <a:effectLst/>
        </c:spPr>
        <c:dLbl>
          <c:idx val="0"/>
          <c:layout>
            <c:manualLayout>
              <c:x val="1.1111111111111112E-2"/>
              <c:y val="-7.40740740740740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0"/>
        <c:spPr>
          <a:solidFill>
            <a:schemeClr val="accent1"/>
          </a:solidFill>
          <a:ln w="19050">
            <a:solidFill>
              <a:schemeClr val="lt1"/>
            </a:solidFill>
          </a:ln>
          <a:effectLst/>
        </c:spPr>
        <c:dLbl>
          <c:idx val="0"/>
          <c:layout>
            <c:manualLayout>
              <c:x val="5.833333333333323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5.277777777777777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3"/>
        <c:spPr>
          <a:solidFill>
            <a:schemeClr val="accent1"/>
          </a:solidFill>
          <a:ln w="19050">
            <a:solidFill>
              <a:schemeClr val="lt1"/>
            </a:solidFill>
          </a:ln>
          <a:effectLst/>
        </c:spPr>
        <c:dLbl>
          <c:idx val="0"/>
          <c:layout>
            <c:manualLayout>
              <c:x val="-3.333333333333333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4"/>
        <c:spPr>
          <a:solidFill>
            <a:schemeClr val="accent1"/>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5"/>
        <c:spPr>
          <a:solidFill>
            <a:schemeClr val="accent1"/>
          </a:solidFill>
          <a:ln w="19050">
            <a:solidFill>
              <a:schemeClr val="lt1"/>
            </a:solidFill>
          </a:ln>
          <a:effectLst/>
        </c:spPr>
        <c:dLbl>
          <c:idx val="0"/>
          <c:layout>
            <c:manualLayout>
              <c:x val="-3.3333333333333361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6"/>
        <c:spPr>
          <a:solidFill>
            <a:schemeClr val="accent1"/>
          </a:solidFill>
          <a:ln w="19050">
            <a:solidFill>
              <a:schemeClr val="lt1"/>
            </a:solidFill>
          </a:ln>
          <a:effectLst/>
        </c:spPr>
        <c:dLbl>
          <c:idx val="0"/>
          <c:layout>
            <c:manualLayout>
              <c:x val="-6.1111111111111109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7"/>
        <c:spPr>
          <a:solidFill>
            <a:schemeClr val="accent1"/>
          </a:solidFill>
          <a:ln w="19050">
            <a:solidFill>
              <a:schemeClr val="lt1"/>
            </a:solidFill>
          </a:ln>
          <a:effectLst/>
        </c:spPr>
      </c:pivotFmt>
    </c:pivotFmts>
    <c:plotArea>
      <c:layout/>
      <c:doughnutChart>
        <c:varyColors val="1"/>
        <c:ser>
          <c:idx val="0"/>
          <c:order val="0"/>
          <c:tx>
            <c:strRef>
              <c:f>Sheet3!$B$635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F7-4C77-87F8-0F40F7CB1B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F7-4C77-87F8-0F40F7CB1B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F7-4C77-87F8-0F40F7CB1B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F7-4C77-87F8-0F40F7CB1B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F7-4C77-87F8-0F40F7CB1B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0F7-4C77-87F8-0F40F7CB1B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0F7-4C77-87F8-0F40F7CB1B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0F7-4C77-87F8-0F40F7CB1B4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0F7-4C77-87F8-0F40F7CB1B40}"/>
              </c:ext>
            </c:extLst>
          </c:dPt>
          <c:dLbls>
            <c:dLbl>
              <c:idx val="0"/>
              <c:layout>
                <c:manualLayout>
                  <c:x val="1.1111111111111112E-2"/>
                  <c:y val="-7.4074074074074098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90F7-4C77-87F8-0F40F7CB1B40}"/>
                </c:ext>
              </c:extLst>
            </c:dLbl>
            <c:dLbl>
              <c:idx val="1"/>
              <c:layout>
                <c:manualLayout>
                  <c:x val="5.833333333333323E-2"/>
                  <c:y val="-2.3148148148148147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90F7-4C77-87F8-0F40F7CB1B40}"/>
                </c:ext>
              </c:extLst>
            </c:dLbl>
            <c:dLbl>
              <c:idx val="3"/>
              <c:layout>
                <c:manualLayout>
                  <c:x val="5.2777777777777778E-2"/>
                  <c:y val="2.777777777777777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90F7-4C77-87F8-0F40F7CB1B40}"/>
                </c:ext>
              </c:extLst>
            </c:dLbl>
            <c:dLbl>
              <c:idx val="4"/>
              <c:layout>
                <c:manualLayout>
                  <c:x val="-3.3333333333333333E-2"/>
                  <c:y val="3.240740740740740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90F7-4C77-87F8-0F40F7CB1B40}"/>
                </c:ext>
              </c:extLst>
            </c:dLbl>
            <c:dLbl>
              <c:idx val="5"/>
              <c:layout>
                <c:manualLayout>
                  <c:x val="-4.1666666666666664E-2"/>
                  <c:y val="-4.6296296296296294E-3"/>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90F7-4C77-87F8-0F40F7CB1B40}"/>
                </c:ext>
              </c:extLst>
            </c:dLbl>
            <c:dLbl>
              <c:idx val="6"/>
              <c:layout>
                <c:manualLayout>
                  <c:x val="-3.3333333333333361E-2"/>
                  <c:y val="-2.7777777777777776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90F7-4C77-87F8-0F40F7CB1B40}"/>
                </c:ext>
              </c:extLst>
            </c:dLbl>
            <c:dLbl>
              <c:idx val="7"/>
              <c:layout>
                <c:manualLayout>
                  <c:x val="-6.1111111111111109E-2"/>
                  <c:y val="-6.018518518518518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90F7-4C77-87F8-0F40F7CB1B4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Sheet3!$A$636:$A$645</c:f>
              <c:strCache>
                <c:ptCount val="9"/>
                <c:pt idx="0">
                  <c:v>Camera</c:v>
                </c:pt>
                <c:pt idx="1">
                  <c:v>Charger</c:v>
                </c:pt>
                <c:pt idx="2">
                  <c:v>HeadPhones</c:v>
                </c:pt>
                <c:pt idx="3">
                  <c:v>Keyboard</c:v>
                </c:pt>
                <c:pt idx="4">
                  <c:v>Laptop</c:v>
                </c:pt>
                <c:pt idx="5">
                  <c:v>Monitor</c:v>
                </c:pt>
                <c:pt idx="6">
                  <c:v>Phone</c:v>
                </c:pt>
                <c:pt idx="7">
                  <c:v>Tablet</c:v>
                </c:pt>
                <c:pt idx="8">
                  <c:v>(blank)</c:v>
                </c:pt>
              </c:strCache>
            </c:strRef>
          </c:cat>
          <c:val>
            <c:numRef>
              <c:f>Sheet3!$B$636:$B$645</c:f>
              <c:numCache>
                <c:formatCode>General</c:formatCode>
                <c:ptCount val="9"/>
                <c:pt idx="0">
                  <c:v>134386.55384615384</c:v>
                </c:pt>
                <c:pt idx="1">
                  <c:v>150674.52440677967</c:v>
                </c:pt>
                <c:pt idx="2">
                  <c:v>157109.94508771924</c:v>
                </c:pt>
                <c:pt idx="3">
                  <c:v>168806.10370786514</c:v>
                </c:pt>
                <c:pt idx="4">
                  <c:v>148867.81805970141</c:v>
                </c:pt>
                <c:pt idx="5">
                  <c:v>153068.32380281694</c:v>
                </c:pt>
                <c:pt idx="6">
                  <c:v>173245.04228070169</c:v>
                </c:pt>
                <c:pt idx="7">
                  <c:v>156660.46305882357</c:v>
                </c:pt>
              </c:numCache>
            </c:numRef>
          </c:val>
          <c:extLst>
            <c:ext xmlns:c16="http://schemas.microsoft.com/office/drawing/2014/chart" uri="{C3380CC4-5D6E-409C-BE32-E72D297353CC}">
              <c16:uniqueId val="{00000012-90F7-4C77-87F8-0F40F7CB1B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[nigera messy sales data cleaned data (Autosaved).xlsx]Sheet3!PivotTable8</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Sales Channel</a:t>
            </a:r>
            <a:endParaRPr lang="en-US"/>
          </a:p>
        </c:rich>
      </c:tx>
      <c:layout>
        <c:manualLayout>
          <c:xMode val="edge"/>
          <c:yMode val="edge"/>
          <c:x val="0.26750000000000007"/>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38C8"/>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338C8"/>
          </a:solidFill>
          <a:ln>
            <a:solidFill>
              <a:schemeClr val="bg1"/>
            </a:solidFill>
          </a:ln>
          <a:effectLst/>
        </c:spPr>
      </c:pivotFmt>
      <c:pivotFmt>
        <c:idx val="2"/>
        <c:spPr>
          <a:solidFill>
            <a:srgbClr val="B338C8"/>
          </a:solidFill>
          <a:ln>
            <a:solidFill>
              <a:srgbClr val="C00000"/>
            </a:solidFill>
          </a:ln>
          <a:effectLst/>
        </c:spPr>
        <c:dLbl>
          <c:idx val="0"/>
          <c:layout>
            <c:manualLayout>
              <c:x val="8.3333333333333332E-3"/>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338C8"/>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338C8"/>
          </a:solidFill>
          <a:ln>
            <a:solidFill>
              <a:srgbClr val="C00000"/>
            </a:solidFill>
          </a:ln>
          <a:effectLst/>
        </c:spPr>
        <c:dLbl>
          <c:idx val="0"/>
          <c:layout>
            <c:manualLayout>
              <c:x val="8.3333333333333332E-3"/>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38C8"/>
          </a:solidFill>
          <a:ln>
            <a:solidFill>
              <a:schemeClr val="bg1"/>
            </a:solidFill>
          </a:ln>
          <a:effectLst/>
        </c:spPr>
      </c:pivotFmt>
      <c:pivotFmt>
        <c:idx val="6"/>
        <c:spPr>
          <a:solidFill>
            <a:srgbClr val="B338C8"/>
          </a:solidFill>
          <a:ln>
            <a:solidFill>
              <a:srgbClr val="C00000"/>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B338C8"/>
          </a:solidFill>
          <a:ln>
            <a:solidFill>
              <a:srgbClr val="C00000"/>
            </a:solidFill>
          </a:ln>
          <a:effectLst/>
        </c:spPr>
        <c:dLbl>
          <c:idx val="0"/>
          <c:layout>
            <c:manualLayout>
              <c:x val="8.3333333333333332E-3"/>
              <c:y val="2.31481481481481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B338C8"/>
          </a:solidFill>
          <a:ln>
            <a:solidFill>
              <a:schemeClr val="bg1"/>
            </a:solidFill>
          </a:ln>
          <a:effectLst/>
        </c:spPr>
      </c:pivotFmt>
    </c:pivotFmts>
    <c:plotArea>
      <c:layout/>
      <c:barChart>
        <c:barDir val="col"/>
        <c:grouping val="clustered"/>
        <c:varyColors val="0"/>
        <c:ser>
          <c:idx val="0"/>
          <c:order val="0"/>
          <c:tx>
            <c:strRef>
              <c:f>Sheet3!$B$651</c:f>
              <c:strCache>
                <c:ptCount val="1"/>
                <c:pt idx="0">
                  <c:v>Total</c:v>
                </c:pt>
              </c:strCache>
            </c:strRef>
          </c:tx>
          <c:spPr>
            <a:solidFill>
              <a:srgbClr val="B338C8"/>
            </a:solidFill>
            <a:ln>
              <a:solidFill>
                <a:srgbClr val="C00000"/>
              </a:solidFill>
            </a:ln>
            <a:effectLst/>
          </c:spPr>
          <c:invertIfNegative val="0"/>
          <c:dPt>
            <c:idx val="0"/>
            <c:invertIfNegative val="0"/>
            <c:bubble3D val="0"/>
            <c:spPr>
              <a:solidFill>
                <a:srgbClr val="B338C8"/>
              </a:solidFill>
              <a:ln>
                <a:solidFill>
                  <a:srgbClr val="C00000"/>
                </a:solidFill>
              </a:ln>
              <a:effectLst/>
            </c:spPr>
            <c:extLst>
              <c:ext xmlns:c16="http://schemas.microsoft.com/office/drawing/2014/chart" uri="{C3380CC4-5D6E-409C-BE32-E72D297353CC}">
                <c16:uniqueId val="{00000002-7AFC-42A6-81C4-E4498F917032}"/>
              </c:ext>
            </c:extLst>
          </c:dPt>
          <c:dPt>
            <c:idx val="3"/>
            <c:invertIfNegative val="0"/>
            <c:bubble3D val="0"/>
            <c:spPr>
              <a:solidFill>
                <a:srgbClr val="B338C8"/>
              </a:solidFill>
              <a:ln>
                <a:solidFill>
                  <a:schemeClr val="bg1"/>
                </a:solidFill>
              </a:ln>
              <a:effectLst/>
            </c:spPr>
            <c:extLst>
              <c:ext xmlns:c16="http://schemas.microsoft.com/office/drawing/2014/chart" uri="{C3380CC4-5D6E-409C-BE32-E72D297353CC}">
                <c16:uniqueId val="{00000001-7AFC-42A6-81C4-E4498F917032}"/>
              </c:ext>
            </c:extLst>
          </c:dPt>
          <c:dLbls>
            <c:dLbl>
              <c:idx val="0"/>
              <c:layout>
                <c:manualLayout>
                  <c:x val="8.3333333333333332E-3"/>
                  <c:y val="2.3148148148148168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AFC-42A6-81C4-E4498F9170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Sheet3!$A$652:$A$658</c:f>
              <c:strCache>
                <c:ptCount val="6"/>
                <c:pt idx="0">
                  <c:v>Direct</c:v>
                </c:pt>
                <c:pt idx="1">
                  <c:v>Online</c:v>
                </c:pt>
                <c:pt idx="2">
                  <c:v>Retail</c:v>
                </c:pt>
                <c:pt idx="3">
                  <c:v>Unkwown</c:v>
                </c:pt>
                <c:pt idx="4">
                  <c:v>Wholesale</c:v>
                </c:pt>
                <c:pt idx="5">
                  <c:v>(blank)</c:v>
                </c:pt>
              </c:strCache>
            </c:strRef>
          </c:cat>
          <c:val>
            <c:numRef>
              <c:f>Sheet3!$B$652:$B$658</c:f>
              <c:numCache>
                <c:formatCode>General</c:formatCode>
                <c:ptCount val="6"/>
                <c:pt idx="0">
                  <c:v>881755670.63999963</c:v>
                </c:pt>
                <c:pt idx="1">
                  <c:v>756889241.72200012</c:v>
                </c:pt>
                <c:pt idx="2">
                  <c:v>826194109.56799996</c:v>
                </c:pt>
                <c:pt idx="3">
                  <c:v>793444278.3779999</c:v>
                </c:pt>
                <c:pt idx="4">
                  <c:v>763752660.20000005</c:v>
                </c:pt>
              </c:numCache>
            </c:numRef>
          </c:val>
          <c:extLst>
            <c:ext xmlns:c16="http://schemas.microsoft.com/office/drawing/2014/chart" uri="{C3380CC4-5D6E-409C-BE32-E72D297353CC}">
              <c16:uniqueId val="{00000003-7AFC-42A6-81C4-E4498F917032}"/>
            </c:ext>
          </c:extLst>
        </c:ser>
        <c:dLbls>
          <c:dLblPos val="outEnd"/>
          <c:showLegendKey val="0"/>
          <c:showVal val="1"/>
          <c:showCatName val="0"/>
          <c:showSerName val="0"/>
          <c:showPercent val="0"/>
          <c:showBubbleSize val="0"/>
        </c:dLbls>
        <c:gapWidth val="219"/>
        <c:overlap val="-27"/>
        <c:axId val="1719185680"/>
        <c:axId val="1719196912"/>
      </c:barChart>
      <c:catAx>
        <c:axId val="171918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96912"/>
        <c:crosses val="autoZero"/>
        <c:auto val="1"/>
        <c:lblAlgn val="ctr"/>
        <c:lblOffset val="100"/>
        <c:noMultiLvlLbl val="0"/>
      </c:catAx>
      <c:valAx>
        <c:axId val="1719196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18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457200</xdr:colOff>
      <xdr:row>1</xdr:row>
      <xdr:rowOff>7620</xdr:rowOff>
    </xdr:from>
    <xdr:to>
      <xdr:col>12</xdr:col>
      <xdr:colOff>152400</xdr:colOff>
      <xdr:row>16</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259080</xdr:colOff>
      <xdr:row>18</xdr:row>
      <xdr:rowOff>129540</xdr:rowOff>
    </xdr:from>
    <xdr:to>
      <xdr:col>10</xdr:col>
      <xdr:colOff>563880</xdr:colOff>
      <xdr:row>33</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167640</xdr:colOff>
      <xdr:row>42</xdr:row>
      <xdr:rowOff>152400</xdr:rowOff>
    </xdr:from>
    <xdr:to>
      <xdr:col>10</xdr:col>
      <xdr:colOff>175260</xdr:colOff>
      <xdr:row>56</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449580</xdr:colOff>
      <xdr:row>542</xdr:row>
      <xdr:rowOff>76200</xdr:rowOff>
    </xdr:from>
    <xdr:to>
      <xdr:col>10</xdr:col>
      <xdr:colOff>563880</xdr:colOff>
      <xdr:row>557</xdr:row>
      <xdr:rowOff>76200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541020</xdr:colOff>
      <xdr:row>569</xdr:row>
      <xdr:rowOff>60960</xdr:rowOff>
    </xdr:from>
    <xdr:to>
      <xdr:col>12</xdr:col>
      <xdr:colOff>236220</xdr:colOff>
      <xdr:row>584</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525780</xdr:colOff>
      <xdr:row>588</xdr:row>
      <xdr:rowOff>137160</xdr:rowOff>
    </xdr:from>
    <xdr:to>
      <xdr:col>11</xdr:col>
      <xdr:colOff>220980</xdr:colOff>
      <xdr:row>603</xdr:row>
      <xdr:rowOff>137160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381000</xdr:colOff>
      <xdr:row>606</xdr:row>
      <xdr:rowOff>15240</xdr:rowOff>
    </xdr:from>
    <xdr:to>
      <xdr:col>12</xdr:col>
      <xdr:colOff>228600</xdr:colOff>
      <xdr:row>623</xdr:row>
      <xdr:rowOff>175260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464820</xdr:colOff>
      <xdr:row>632</xdr:row>
      <xdr:rowOff>60960</xdr:rowOff>
    </xdr:from>
    <xdr:to>
      <xdr:col>11</xdr:col>
      <xdr:colOff>160020</xdr:colOff>
      <xdr:row>647</xdr:row>
      <xdr:rowOff>60960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579120</xdr:colOff>
      <xdr:row>649</xdr:row>
      <xdr:rowOff>144780</xdr:rowOff>
    </xdr:from>
    <xdr:to>
      <xdr:col>11</xdr:col>
      <xdr:colOff>274320</xdr:colOff>
      <xdr:row>664</xdr:row>
      <xdr:rowOff>144780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210207</xdr:colOff>
      <xdr:row>0</xdr:row>
      <xdr:rowOff>118241</xdr:rowOff>
    </xdr:from>
    <xdr:to>
      <xdr:col>28</xdr:col>
      <xdr:colOff>525517</xdr:colOff>
      <xdr:row>2</xdr:row>
      <xdr:rowOff>76200</xdr:rowOff>
    </xdr:to>
    <xdr:sp macro="" textlink="">
      <xdr:nvSpPr>
        <xdr:cNvPr id="2" name="TextBox 1"/>
        <xdr:cNvSpPr txBox="1"/>
      </xdr:nvSpPr>
      <xdr:spPr>
        <a:xfrm>
          <a:off x="210207" y="118241"/>
          <a:ext cx="17236965" cy="325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B338C8"/>
              </a:solidFill>
              <a:latin typeface="Times New Roman" panose="02020603050405020304" pitchFamily="18" charset="0"/>
              <a:cs typeface="Times New Roman" panose="02020603050405020304" pitchFamily="18" charset="0"/>
            </a:rPr>
            <a:t>Sales</a:t>
          </a:r>
          <a:r>
            <a:rPr lang="en-US" sz="1400" baseline="0">
              <a:latin typeface="Times New Roman" panose="02020603050405020304" pitchFamily="18" charset="0"/>
              <a:cs typeface="Times New Roman" panose="02020603050405020304" pitchFamily="18" charset="0"/>
            </a:rPr>
            <a:t> </a:t>
          </a:r>
          <a:r>
            <a:rPr lang="en-US" sz="1400" baseline="0">
              <a:solidFill>
                <a:srgbClr val="B338C8"/>
              </a:solidFill>
              <a:latin typeface="Times New Roman" panose="02020603050405020304" pitchFamily="18" charset="0"/>
              <a:cs typeface="Times New Roman" panose="02020603050405020304" pitchFamily="18" charset="0"/>
            </a:rPr>
            <a:t>Data</a:t>
          </a:r>
          <a:endParaRPr lang="en-US" sz="1400">
            <a:solidFill>
              <a:srgbClr val="B338C8"/>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60960</xdr:colOff>
      <xdr:row>2</xdr:row>
      <xdr:rowOff>121920</xdr:rowOff>
    </xdr:from>
    <xdr:to>
      <xdr:col>28</xdr:col>
      <xdr:colOff>480060</xdr:colOff>
      <xdr:row>81</xdr:row>
      <xdr:rowOff>152400</xdr:rowOff>
    </xdr:to>
    <xdr:sp macro="" textlink="">
      <xdr:nvSpPr>
        <xdr:cNvPr id="3" name="Rectangle 2"/>
        <xdr:cNvSpPr/>
      </xdr:nvSpPr>
      <xdr:spPr>
        <a:xfrm>
          <a:off x="60960" y="480508"/>
          <a:ext cx="17487900" cy="141947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370115</xdr:colOff>
      <xdr:row>37</xdr:row>
      <xdr:rowOff>160021</xdr:rowOff>
    </xdr:from>
    <xdr:to>
      <xdr:col>25</xdr:col>
      <xdr:colOff>576943</xdr:colOff>
      <xdr:row>55</xdr:row>
      <xdr:rowOff>32657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361407</xdr:colOff>
      <xdr:row>3</xdr:row>
      <xdr:rowOff>43544</xdr:rowOff>
    </xdr:from>
    <xdr:to>
      <xdr:col>17</xdr:col>
      <xdr:colOff>119743</xdr:colOff>
      <xdr:row>18</xdr:row>
      <xdr:rowOff>143692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261256</xdr:colOff>
      <xdr:row>37</xdr:row>
      <xdr:rowOff>171995</xdr:rowOff>
    </xdr:from>
    <xdr:to>
      <xdr:col>17</xdr:col>
      <xdr:colOff>87085</xdr:colOff>
      <xdr:row>54</xdr:row>
      <xdr:rowOff>163285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328749</xdr:colOff>
      <xdr:row>19</xdr:row>
      <xdr:rowOff>156755</xdr:rowOff>
    </xdr:from>
    <xdr:to>
      <xdr:col>17</xdr:col>
      <xdr:colOff>130629</xdr:colOff>
      <xdr:row>37</xdr:row>
      <xdr:rowOff>32656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169816</xdr:colOff>
      <xdr:row>48</xdr:row>
      <xdr:rowOff>141513</xdr:rowOff>
    </xdr:from>
    <xdr:to>
      <xdr:col>7</xdr:col>
      <xdr:colOff>598715</xdr:colOff>
      <xdr:row>62</xdr:row>
      <xdr:rowOff>163285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207917</xdr:colOff>
      <xdr:row>19</xdr:row>
      <xdr:rowOff>100148</xdr:rowOff>
    </xdr:from>
    <xdr:to>
      <xdr:col>8</xdr:col>
      <xdr:colOff>108858</xdr:colOff>
      <xdr:row>48</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384139</xdr:colOff>
      <xdr:row>3</xdr:row>
      <xdr:rowOff>34131</xdr:rowOff>
    </xdr:from>
    <xdr:to>
      <xdr:col>25</xdr:col>
      <xdr:colOff>489857</xdr:colOff>
      <xdr:row>19</xdr:row>
      <xdr:rowOff>43543</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389709</xdr:colOff>
      <xdr:row>19</xdr:row>
      <xdr:rowOff>152401</xdr:rowOff>
    </xdr:from>
    <xdr:to>
      <xdr:col>25</xdr:col>
      <xdr:colOff>489857</xdr:colOff>
      <xdr:row>36</xdr:row>
      <xdr:rowOff>152400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255814</xdr:colOff>
      <xdr:row>3</xdr:row>
      <xdr:rowOff>84909</xdr:rowOff>
    </xdr:from>
    <xdr:to>
      <xdr:col>3</xdr:col>
      <xdr:colOff>413658</xdr:colOff>
      <xdr:row>18</xdr:row>
      <xdr:rowOff>97970</xdr:rowOff>
    </xdr:to>
    <mc:AlternateContent xmlns:mc="http://schemas.openxmlformats.org/markup-compatibility/2006" xmlns:a14="http://schemas.microsoft.com/office/drawing/2010/main">
      <mc:Choice Requires="a14">
        <xdr:graphicFrame macro="">
          <xdr:nvGraphicFramePr>
            <xdr:cNvPr id="2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55814" y="622791"/>
              <a:ext cx="1986644" cy="2702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529044</xdr:colOff>
      <xdr:row>10</xdr:row>
      <xdr:rowOff>87086</xdr:rowOff>
    </xdr:from>
    <xdr:to>
      <xdr:col>8</xdr:col>
      <xdr:colOff>293913</xdr:colOff>
      <xdr:row>18</xdr:row>
      <xdr:rowOff>87085</xdr:rowOff>
    </xdr:to>
    <mc:AlternateContent xmlns:mc="http://schemas.openxmlformats.org/markup-compatibility/2006" xmlns:a14="http://schemas.microsoft.com/office/drawing/2010/main">
      <mc:Choice Requires="a14">
        <xdr:graphicFrame macro="">
          <xdr:nvGraphicFramePr>
            <xdr:cNvPr id="21"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57844" y="1880027"/>
              <a:ext cx="2812869" cy="1434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508363</xdr:colOff>
      <xdr:row>3</xdr:row>
      <xdr:rowOff>97971</xdr:rowOff>
    </xdr:from>
    <xdr:to>
      <xdr:col>8</xdr:col>
      <xdr:colOff>261257</xdr:colOff>
      <xdr:row>9</xdr:row>
      <xdr:rowOff>152400</xdr:rowOff>
    </xdr:to>
    <mc:AlternateContent xmlns:mc="http://schemas.openxmlformats.org/markup-compatibility/2006" xmlns:a14="http://schemas.microsoft.com/office/drawing/2010/main">
      <mc:Choice Requires="a14">
        <xdr:graphicFrame macro="">
          <xdr:nvGraphicFramePr>
            <xdr:cNvPr id="22"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337163" y="635853"/>
              <a:ext cx="2800894" cy="11301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kan" refreshedDate="46163.726204050923" createdVersion="6" refreshedVersion="6" minRefreshableVersion="3" recordCount="551">
  <cacheSource type="worksheet">
    <worksheetSource ref="A1:I1048576" sheet="cleaned data"/>
  </cacheSource>
  <cacheFields count="9">
    <cacheField name="Customer Name" numFmtId="0">
      <sharedItems containsBlank="1" count="508">
        <s v="unknown"/>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 v="John Daniel"/>
        <s v="Victoria Garcia"/>
        <s v="Gerald Hensley"/>
        <s v="Connor West"/>
        <s v="Donald Wright"/>
        <s v="Jessica Callahan"/>
        <s v="Amber Kidd"/>
        <s v="Tracy House"/>
        <s v="Carol Tucker"/>
        <s v="James Brown"/>
        <s v="William Baker"/>
        <s v="Jordan Henderson"/>
        <s v="Whitney Peters"/>
        <s v="Brittney Phillips"/>
        <s v="Lauren Daniels"/>
        <s v="Amy Silva"/>
        <s v="Sarah Moore"/>
        <s v="Angela Lopez"/>
        <s v="Megan Young"/>
        <s v="Steve Sanchez"/>
        <s v="Lisa Barnes"/>
        <s v="Kelly Donovan"/>
        <s v="Mike Allen"/>
        <s v="Michael Evans"/>
        <s v="Paul Jones"/>
        <s v="Zachary Ferrell"/>
        <s v="Daniel Baker"/>
        <s v="Shirley Suarez"/>
        <s v="Christopher Bass"/>
        <s v="Lisa Archer"/>
        <s v="Aimee Montoya"/>
        <s v="Matthew Mcmillan"/>
        <s v="Brian Rodriguez"/>
        <s v="Denise Jacobs"/>
        <s v="Christina Walters"/>
        <s v="John Whitehead"/>
        <s v="Anna Henderson"/>
        <s v="Aaron Wise"/>
        <s v="Deborah Figueroa"/>
        <s v="Jessica Smith"/>
        <s v="Stephen Mckee"/>
        <s v="Sandra Aguilar"/>
        <s v="Cameron Parker"/>
        <s v="Rebecca Valencia"/>
        <s v="Christine Wright"/>
        <s v="Richard Henson"/>
        <s v="Marc Moore"/>
        <s v="Sharon Cherry"/>
        <s v="Sierra Johnson"/>
        <s v="Evelyn Galvan"/>
        <s v="Sharon Cochran"/>
        <s v="Richard Rodriguez"/>
        <s v="Shannon Walker"/>
        <s v="Julia Torres"/>
        <s v="Crystal Johnson"/>
        <s v="Garrett Lin"/>
        <s v="Diana May"/>
        <s v="William Herrera"/>
        <s v="Ashley Waller"/>
        <s v="Victor Baker"/>
        <s v="Jeffrey Chandler"/>
        <s v="Larry Dixon"/>
        <s v="Kenneth Scott"/>
        <s v="April Frost"/>
        <s v="Michelle Harmon"/>
        <s v="Helen Jones"/>
        <s v="Erin Edwards"/>
        <s v="Michelle Evans"/>
        <s v="Jason Powell"/>
        <s v="Cameron Fisher"/>
        <s v="Megan Orr"/>
        <s v="Elizabeth Kelley"/>
        <s v="Dustin Jordan"/>
        <s v="Mary Marshall"/>
        <s v="Daniel Kennedy"/>
        <s v="Rebecca Jackson"/>
        <s v="Jose Schultz"/>
        <s v="Robert Potter"/>
        <s v="Courtney Gonzalez"/>
        <s v="David Alvarez"/>
        <s v="Angel Perry"/>
        <s v="Cheyenne Horton"/>
        <s v="David Douglas Jr."/>
        <s v="Patricia Rodriguez"/>
        <s v="Christopher Rubio"/>
        <s v="Amber Wright"/>
        <s v="Joyce Solis"/>
        <s v="Victoria Larson"/>
        <s v="Stephanie Salazar"/>
        <s v="Kathy Rivas"/>
        <s v="Stephanie Manning"/>
        <s v="David Wright"/>
        <s v="Pamela Boyd"/>
        <s v="Denise Jones"/>
        <s v="Devon Flores"/>
        <s v="Brenda Hall"/>
        <s v="Michelle Brown"/>
        <s v="Joshua Perry"/>
        <s v="Jason Stein"/>
        <s v="Melissa Gates"/>
        <s v="Jamie Smith"/>
        <s v="Paul Castaneda"/>
        <s v="Jennifer Adkins"/>
        <s v="Lindsey Walker"/>
        <s v="Jeffrey Johnson"/>
        <s v="Michael Powell"/>
        <s v="John Anderson"/>
        <s v="Alyssa Long"/>
        <s v="Alyssa Day"/>
        <s v="Joel Williams"/>
        <s v="Daniel Murphy"/>
        <s v="Jamie Walton"/>
        <s v="Darlene Miller"/>
        <s v="Joshua Cooke"/>
        <s v="Matthew Harrington"/>
        <s v="Nicole Herring"/>
        <s v="Alex Hernandez"/>
        <s v="Michael Elliott"/>
        <s v="Michael Wang"/>
        <s v="Lawrence Adkins"/>
        <s v="Robert Oconnell"/>
        <s v="Alexander Collins"/>
        <s v="Tina Sanders"/>
        <s v="Angela Vaughn"/>
        <s v="Ashley Barton"/>
        <s v="Lindsay Martinez"/>
        <s v="Dr. Hannah Patterson"/>
        <s v="Jonathan Peterson"/>
        <s v="Samantha Garcia"/>
        <s v="Madison Poole"/>
        <s v="Jessica Gross"/>
        <s v="Debra Morton"/>
        <s v="Karen Graham"/>
        <s v="Debra Christian"/>
        <s v="Angelica Keith"/>
        <s v="John Bishop"/>
        <s v="Allen Rosales"/>
        <s v="Daniel Salinas"/>
        <s v="Spencer Haynes"/>
        <s v="Adam Vaughan"/>
        <s v="Nathan Freeman"/>
        <s v="Melissa Brewer"/>
        <s v="Ricky Davis II"/>
        <s v="Elizabeth Perkins"/>
        <s v="Joseph Coleman"/>
        <s v="Erin Warner"/>
        <s v="David Martinez"/>
        <s v="Bryan Herrera"/>
        <s v="Cathy Robinson"/>
        <s v="Dr. William Warren"/>
        <s v="Brian Lee"/>
        <s v="Christopher Smith"/>
        <s v="Denise Mccann"/>
        <s v="Melissa Martinez"/>
        <s v="Katherine Salas"/>
        <s v="Julie Alexander"/>
        <s v="Anthony Everett"/>
        <s v="Rodney Morales"/>
        <s v="Mark Brown"/>
        <s v="Justin Torres"/>
        <s v="Bailey Duran DDS"/>
        <s v="Courtney Mills"/>
        <s v="Jeremy Dalton"/>
        <s v="Elizabeth Oliver DDS"/>
        <s v="Theresa Clark"/>
        <s v="Matthew Moore"/>
        <s v="Benjamin Smith"/>
        <s v="Kirk Carter"/>
        <s v="Michael Warner"/>
        <s v="Michael Bradshaw"/>
        <s v="Lori Guerrero"/>
        <s v="Jessica Stephens"/>
        <s v="Susan Serrano"/>
        <s v="Christopher Parker"/>
        <s v="Laura Roberts"/>
        <s v="Michael Lyons"/>
        <s v="Kathryn Snyder"/>
        <s v="Andrew Reynolds"/>
        <s v="David Davis"/>
        <s v="Sara Johnston"/>
        <s v="Yvonne Chambers"/>
        <s v="Andrew Avila"/>
        <s v="Matthew Moon"/>
        <s v="Kevin Walters"/>
        <s v="Brandon Bailey MD"/>
        <s v="Shannon Rivera"/>
        <s v="Donna Landry"/>
        <s v="Krista Gibson"/>
        <s v="Frank Cordova"/>
        <s v="Jose Travis"/>
        <s v="Kimberly Gutierrez"/>
        <s v="Isaiah Avila"/>
        <s v="Olivia Harris"/>
        <s v="Tanya Kim"/>
        <s v="Barbara Dudley"/>
        <s v="Cynthia Moore"/>
        <s v="Kristen Davis"/>
        <s v="Susan Murray MD"/>
        <s v="Kathleen Moran"/>
        <s v="Denise Davenport"/>
        <s v="Mrs. Kristen Reyes"/>
        <s v="Katie Suarez"/>
        <s v="Desiree Tyler"/>
        <s v="TImothy Romero"/>
        <s v="Diane Evans"/>
        <s v="Yvonne Burns"/>
        <s v="Joshua Reed"/>
        <s v="Kimberly Gibson"/>
        <s v="Colin Terry"/>
        <s v="Cynthia Rowe"/>
        <s v="Patrick Thornton"/>
        <s v="Jasmin Alvarado"/>
        <s v="Veronica Simpson"/>
        <s v="Jonathan Lawrence"/>
        <s v="Shelly Alexander"/>
        <s v="Joyce Bowen"/>
        <s v="Wayne Morgan"/>
        <s v="Marie Christian"/>
        <s v="Shannon James"/>
        <s v="Nathan Malone"/>
        <s v="Amanda Jones"/>
        <s v="Tammie Bright"/>
        <s v="Jessica Garcia"/>
        <s v="Shelia Wallace"/>
        <s v="Stephanie Williams"/>
        <s v="Elaine Brooks"/>
        <s v="Joseph Knight"/>
        <s v="Carolyn Miller"/>
        <s v="Lisa Allen"/>
        <s v="Briana Murray"/>
        <s v="David Smith"/>
        <s v="Stephanie Byrd"/>
        <s v="Jeremy Reed"/>
        <s v="Margaret Coleman"/>
        <s v="Ryan Gonzalez"/>
        <s v="John Young"/>
        <s v="Laura Haney"/>
        <s v="William Barrett"/>
        <s v="Keith Jennings"/>
        <s v="Amber Obrien"/>
        <s v="Tanner Mitchell DDS"/>
        <s v="Heather Fields"/>
        <s v="Megan Le"/>
        <s v="Sara Fuller"/>
        <s v="Maria Parker"/>
        <s v="Kevin Oconnor"/>
        <s v="Edward Burgess"/>
        <s v="Carlos Ryan"/>
        <s v="Kiara Mcintyre"/>
        <s v="Dawn Summers"/>
        <s v="Dr. Paul Morgan"/>
        <s v="Victor Taylor"/>
        <s v="Shannon Ramsey"/>
        <s v="Tracy Ballard"/>
        <s v="Richard Smith"/>
        <s v="Jordan Chambers"/>
        <s v="Lauren Carson"/>
        <s v="Ashley Hall"/>
        <s v="Stephen Hoffman"/>
        <s v="Connie Brown"/>
        <s v="Susan Turner"/>
        <s v="Charles Shah"/>
        <s v="Johnathan Davis"/>
        <s v="Brandy Chavez"/>
        <s v="Natalie Bautista"/>
        <s v="Patrick Moore"/>
        <s v="Brett Burns"/>
        <s v="Trevor Johnson"/>
        <s v="Jeremy Sampson"/>
        <s v="Ariana Jennings"/>
        <s v="Vanessa Howard"/>
        <s v="Colton Martinez"/>
        <s v="Jordan Bates"/>
        <s v="Linda Smith"/>
        <s v="Dana Martinez"/>
        <s v="Andrea Hubbard"/>
        <s v="Daniel Kane"/>
        <s v="Charles Lester"/>
        <s v="Scott Thomas"/>
        <s v="David Thompson"/>
        <s v="Allison Smith"/>
        <s v="Cynthia Morris"/>
        <s v="Anthony Harmon"/>
        <s v="Nichole Alvarez"/>
        <s v="Kayla Rodriguez"/>
        <s v="Theresa Williams"/>
        <s v="Sharon Boyd"/>
        <s v="Victor Brown"/>
        <s v="James Parks"/>
        <s v="Theodore Jones Jr."/>
        <s v="Ana Hill"/>
        <s v="Kimberly Nguyen"/>
        <s v="Kerry Chavez DDS"/>
        <s v="Michael Farrell"/>
        <s v="Patricia Le"/>
        <s v="Jesse Perez"/>
        <s v="Jesse Perry"/>
        <s v="Jeffery Ortega"/>
        <s v="Christian Leblanc"/>
        <s v="Ronald Davis"/>
        <s v="Parker Cain"/>
        <s v="Laurie Hoffman"/>
        <s v="Bryan Gomez"/>
        <s v="Nicole Parrish"/>
        <s v="Tracy Burke"/>
        <s v="Kenneth Lewis"/>
        <s v="Courtney Rodriguez"/>
        <s v="Holly Farmer"/>
        <s v="Renee Bruce"/>
        <s v="Sabrina Austin"/>
        <s v="Allison Hickman"/>
        <s v="Debra White"/>
        <s v="Ellen Morgan"/>
        <s v="Sergio Knight"/>
        <s v="Charles Schultz"/>
        <s v="Paul Lewis"/>
        <s v="Glen Wood"/>
        <s v="Paula Bradley"/>
        <s v="Anthony Moore"/>
        <s v="Megan Nelson"/>
        <s v="Karla Ramos"/>
        <s v="Paul Wilson"/>
        <s v="Douglas Gregory"/>
        <s v="Mr. Andrew Foster"/>
        <s v="Aimee Turner"/>
        <s v="Chad Scott"/>
        <s v="Adam Burgess"/>
        <s v="James Padilla"/>
        <s v="Sandra Drake"/>
        <s v="Scott Williams"/>
        <s v="Thomas Atkins"/>
        <s v="Laura Mckinney"/>
        <s v="Brian Smith"/>
        <s v="Robert Montgomery"/>
        <s v="Tamara Davis"/>
        <s v="Dana Chapman"/>
        <s v="Jennifer Collins"/>
        <s v="Gary Jackson"/>
        <s v="Ashley Hicks"/>
        <s v="Hannah Luna"/>
        <s v="Robin Young"/>
        <s v="Craig Morrison"/>
        <s v="Mary Thompson"/>
        <s v="Kathleen Webster"/>
        <s v="Joann Glass"/>
        <s v="Madison Weber"/>
        <s v="Lori Hernandez"/>
        <s v="Jeremy Turner"/>
        <s v="Anthony Romero"/>
        <s v="Jesse Brown"/>
        <s v="Angela Lin"/>
        <s v="Lisa Hunter"/>
        <s v="Julian Conner"/>
        <s v="Joanna Pacheco"/>
        <s v="Erica Alvarez"/>
        <s v="Antonio Garcia"/>
        <s v="Gwendolyn Klein"/>
        <s v="Carrie Wright"/>
        <s v="Jeffrey Mills"/>
        <s v="Jake Campbell"/>
        <s v="George Harper"/>
        <s v="Maria Jones"/>
        <s v="Michael Mitchell"/>
        <s v="Mary Escobar"/>
        <s v="Felicia Aguilar"/>
        <s v="Gregory Ponce"/>
        <s v="Jenna Larson"/>
        <s v="Emily Bennett"/>
        <s v="Robin Santiago"/>
        <s v="Nancy Jennings"/>
        <s v="Maria Henderson"/>
        <s v="Jack White"/>
        <s v="Travis Tucker"/>
        <s v="Chad Jones"/>
        <s v="Ashley Wise"/>
        <s v="Sophia Johnson"/>
        <s v="Ralph Anderson"/>
        <s v="Christopher Guerra"/>
        <s v="Rhonda Martin"/>
        <s v="Jason Rhodes"/>
        <s v="Jeremy Mitchell"/>
        <s v="Joann Ferguson"/>
        <s v="Robert Harrison"/>
        <s v="Holly Valentine"/>
        <s v="Mrs. Diane Reyes"/>
        <s v="Tracy Montoya"/>
        <s v="Brenda Wright"/>
        <s v="Shelly Spencer"/>
        <s v="Ryan Rosales"/>
        <s v="Phillip Nelson"/>
        <s v="Brittany Kim"/>
        <s v="Courtney Hayes"/>
        <s v="Alexander Brown"/>
        <s v="Cynthia Vang"/>
        <s v="Alfred Galvan"/>
        <s v="Marie Moody"/>
        <s v="Dustin Gallegos"/>
        <s v="Brenda Thornton"/>
        <s v="Aaron Miller"/>
        <s v="Ruben Dunn"/>
        <s v="Kelsey Rodriguez"/>
        <s v="Eric Williams"/>
        <s v="Riley Bryant"/>
        <s v="Taylor Carlson"/>
        <s v="Jose Allen"/>
        <s v="Jeffrey Mendez"/>
        <s v="Jason Beck"/>
        <s v="William Jones"/>
        <s v="Katie Mcneil"/>
        <s v="Jeanette Harrison"/>
        <s v="Veronica King"/>
        <s v="Richard Cooper"/>
        <s v="Lori Ingram"/>
        <s v="Evelyn Williams"/>
        <s v="Robin Thompson"/>
        <s v="Julie Dominguez"/>
        <s v="Robin Brown"/>
        <s v="Judith Carter"/>
        <s v="Curtis Williams"/>
        <s v="Kaylee Hays"/>
        <s v="Dawn Mullins"/>
        <s v="Howard Norman"/>
        <s v="Evelyn Martinez"/>
        <s v="Steve Paul"/>
        <s v="Jasmine Beltran"/>
        <s v="Jonathan Glass MD"/>
        <s v="Monica Miller"/>
        <s v="Samantha Gardner"/>
        <s v="Bobby Guerrero"/>
        <s v="Lance Simmons"/>
        <s v="Heather Williams"/>
        <s v="Heather Bolton"/>
        <s v="William Gould"/>
        <s v="Mark Cox"/>
        <s v="Meghan Cisneros"/>
        <s v="Lawrence Harrington"/>
        <s v="Austin Osborne"/>
        <s v="James Bradley"/>
        <s v="Meghan Rush"/>
        <s v="Phillip Berry"/>
        <s v="Jennifer Banks"/>
        <s v="Brian Fitzgerald"/>
        <s v="Mr. Justin Green III"/>
        <s v="Zachary Mitchell"/>
        <s v="Katherine Martinez"/>
        <s v="Jodi Roach"/>
        <s v="Brandon Fleming"/>
        <m/>
      </sharedItems>
    </cacheField>
    <cacheField name="State" numFmtId="0">
      <sharedItems containsBlank="1" count="21">
        <s v="Rivers"/>
        <s v="Lagos"/>
        <s v="Anambra"/>
        <s v="Delta"/>
        <s v="Oyo "/>
        <s v="Imo"/>
        <s v="Kano"/>
        <s v="Plateau"/>
        <s v="Niger"/>
        <s v="Abuja"/>
        <s v="Enugu"/>
        <s v="Bauchi"/>
        <s v="Katsina"/>
        <s v="Ekiti"/>
        <s v="Kaduna"/>
        <s v="Sokoto"/>
        <s v="Benue"/>
        <s v="Osun"/>
        <s v="Borno"/>
        <s v="Cross River"/>
        <m/>
      </sharedItems>
    </cacheField>
    <cacheField name="Product" numFmtId="0">
      <sharedItems containsBlank="1" count="9">
        <s v="Keyboard"/>
        <s v="HeadPhones"/>
        <s v="Tablet"/>
        <s v="Camera"/>
        <s v="Laptop"/>
        <s v="Charger"/>
        <s v="Monitor"/>
        <s v="Phone"/>
        <m/>
      </sharedItems>
    </cacheField>
    <cacheField name="Units Sold" numFmtId="0">
      <sharedItems containsString="0" containsBlank="1" containsNumber="1" minValue="1" maxValue="100"/>
    </cacheField>
    <cacheField name="Unit Price" numFmtId="0">
      <sharedItems containsString="0" containsBlank="1" containsNumber="1" minValue="1403.13" maxValue="299437.8"/>
    </cacheField>
    <cacheField name="Total Sale" numFmtId="0">
      <sharedItems containsString="0" containsBlank="1" containsNumber="1" minValue="57887.040000000001" maxValue="28734589.800000001"/>
    </cacheField>
    <cacheField name="Sale Date" numFmtId="0">
      <sharedItems containsNonDate="0" containsDate="1" containsString="0" containsBlank="1" minDate="2023-07-15T00:00:00" maxDate="2025-07-11T00:00:00"/>
    </cacheField>
    <cacheField name="Sales Channel" numFmtId="0">
      <sharedItems containsBlank="1" count="6">
        <s v="Online"/>
        <s v="Wholesale"/>
        <s v="Unkwown"/>
        <s v="Direct"/>
        <s v="Retail"/>
        <m/>
      </sharedItems>
    </cacheField>
    <cacheField name="Order ID"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51">
  <r>
    <x v="0"/>
    <x v="0"/>
    <x v="0"/>
    <n v="46.8"/>
    <n v="155703.70000000001"/>
    <n v="7286933.1600000001"/>
    <d v="2025-04-27T00:00:00"/>
    <x v="0"/>
    <s v="Unknown"/>
  </r>
  <r>
    <x v="1"/>
    <x v="1"/>
    <x v="1"/>
    <n v="46.8"/>
    <n v="267992.94"/>
    <n v="12542069.592"/>
    <d v="2024-03-15T00:00:00"/>
    <x v="1"/>
    <s v="4c636e95-025f-4543-8997-623ae0723d96"/>
  </r>
  <r>
    <x v="2"/>
    <x v="2"/>
    <x v="0"/>
    <n v="46.8"/>
    <n v="42364.41"/>
    <n v="1982654.388"/>
    <d v="2024-12-10T00:00:00"/>
    <x v="2"/>
    <s v="edaf3766-1b78-4ede-9a4f-fc0c9165f2ed"/>
  </r>
  <r>
    <x v="3"/>
    <x v="3"/>
    <x v="0"/>
    <n v="46.8"/>
    <n v="279444.94"/>
    <n v="13078023.192"/>
    <d v="2024-04-05T00:00:00"/>
    <x v="2"/>
    <s v="74503887-48d9-4846-95c5-51fcfba57cc8"/>
  </r>
  <r>
    <x v="4"/>
    <x v="3"/>
    <x v="2"/>
    <n v="46.8"/>
    <n v="95899.74"/>
    <n v="4488107.8320000004"/>
    <d v="2025-01-12T00:00:00"/>
    <x v="2"/>
    <s v="8639bd41-8b15-4d94-a42d-0cd7fd359f6a"/>
  </r>
  <r>
    <x v="5"/>
    <x v="4"/>
    <x v="3"/>
    <n v="46.8"/>
    <n v="118189.9"/>
    <n v="5531287.3199999994"/>
    <d v="2023-08-30T00:00:00"/>
    <x v="3"/>
    <s v="225aed6c-f045-4043-a3a6-8a707e710b55"/>
  </r>
  <r>
    <x v="6"/>
    <x v="0"/>
    <x v="2"/>
    <n v="36"/>
    <n v="185141.9"/>
    <n v="6665108.4000000004"/>
    <d v="2024-09-10T00:00:00"/>
    <x v="1"/>
    <s v="45d8a6ad-77d0-459e-8114-14f8d9df0d0e"/>
  </r>
  <r>
    <x v="7"/>
    <x v="5"/>
    <x v="0"/>
    <n v="46.8"/>
    <n v="252859.28"/>
    <n v="11833814.304"/>
    <d v="2024-09-04T00:00:00"/>
    <x v="0"/>
    <s v="54a7b69b-1cd6-4b09-8f0e-6d2b315c167a"/>
  </r>
  <r>
    <x v="8"/>
    <x v="6"/>
    <x v="3"/>
    <n v="46.8"/>
    <n v="178320.53"/>
    <n v="8345400.8039999995"/>
    <d v="2024-02-21T00:00:00"/>
    <x v="1"/>
    <s v="a5f60735-757b-4b29-bb2a-a1462999394c"/>
  </r>
  <r>
    <x v="9"/>
    <x v="7"/>
    <x v="2"/>
    <n v="46.8"/>
    <n v="152440.84"/>
    <n v="7134231.311999999"/>
    <d v="2025-06-02T00:00:00"/>
    <x v="3"/>
    <s v="039b058c-2faa-4e0b-b7f6-0cdf41dc1c60"/>
  </r>
  <r>
    <x v="10"/>
    <x v="8"/>
    <x v="0"/>
    <n v="46.8"/>
    <n v="155703.70000000001"/>
    <n v="7286933.1600000001"/>
    <d v="2024-02-28T00:00:00"/>
    <x v="3"/>
    <s v="4b86b5a1-ca6f-4ff8-964c-fbd2bc92fd81"/>
  </r>
  <r>
    <x v="11"/>
    <x v="9"/>
    <x v="4"/>
    <n v="3"/>
    <n v="153159.37"/>
    <n v="459478.11"/>
    <d v="2025-05-02T00:00:00"/>
    <x v="4"/>
    <s v="317304b5-c1dd-484a-aca5-8d95915a1c30"/>
  </r>
  <r>
    <x v="12"/>
    <x v="1"/>
    <x v="2"/>
    <n v="43"/>
    <n v="147209.07"/>
    <n v="6329990.0099999998"/>
    <d v="2023-11-10T00:00:00"/>
    <x v="1"/>
    <s v="a383889a-db2c-4ac8-9c67-83932ced3c0d"/>
  </r>
  <r>
    <x v="0"/>
    <x v="6"/>
    <x v="3"/>
    <n v="46.8"/>
    <n v="169095.82"/>
    <n v="7913684.3760000002"/>
    <d v="2025-01-13T00:00:00"/>
    <x v="2"/>
    <s v="6d7df5d0-d3b5-4af7-a7ce-378fe5a4983b"/>
  </r>
  <r>
    <x v="13"/>
    <x v="10"/>
    <x v="2"/>
    <n v="27"/>
    <n v="142730.32999999999"/>
    <n v="3853718.91"/>
    <d v="2025-01-12T00:00:00"/>
    <x v="3"/>
    <s v="Unknown"/>
  </r>
  <r>
    <x v="14"/>
    <x v="3"/>
    <x v="5"/>
    <n v="46.8"/>
    <n v="5482.77"/>
    <n v="256593.636"/>
    <d v="2025-06-30T00:00:00"/>
    <x v="3"/>
    <s v="669d01ff-1634-425b-93f3-007383e96ef4"/>
  </r>
  <r>
    <x v="15"/>
    <x v="11"/>
    <x v="5"/>
    <n v="46.8"/>
    <n v="99706.26"/>
    <n v="4666252.9679999994"/>
    <d v="2025-01-04T00:00:00"/>
    <x v="4"/>
    <s v="fb4fb88a-2f4d-4219-986b-2880ab545a15"/>
  </r>
  <r>
    <x v="16"/>
    <x v="12"/>
    <x v="4"/>
    <n v="28"/>
    <n v="33326.57"/>
    <n v="933143.96"/>
    <d v="2024-11-17T00:00:00"/>
    <x v="2"/>
    <s v="ef9240b6-52d7-4f10-ba3a-6e9623ff23d3"/>
  </r>
  <r>
    <x v="17"/>
    <x v="1"/>
    <x v="1"/>
    <n v="43"/>
    <n v="125253.81"/>
    <n v="5385913.8300000001"/>
    <d v="2023-11-23T00:00:00"/>
    <x v="3"/>
    <s v="6231ee73-42c2-42eb-81bf-9e733f800385"/>
  </r>
  <r>
    <x v="18"/>
    <x v="5"/>
    <x v="1"/>
    <n v="77"/>
    <n v="92649.51"/>
    <n v="7134012.2699999996"/>
    <d v="2025-03-18T00:00:00"/>
    <x v="0"/>
    <s v="4459bd6e-c0f6-4229-b25d-42593c4b1eec"/>
  </r>
  <r>
    <x v="19"/>
    <x v="10"/>
    <x v="3"/>
    <n v="36"/>
    <n v="155703.70000000001"/>
    <n v="5605333.2000000002"/>
    <d v="2024-04-16T00:00:00"/>
    <x v="2"/>
    <s v="951c25d5-4d4c-4280-9462-52e7f43ba052"/>
  </r>
  <r>
    <x v="20"/>
    <x v="5"/>
    <x v="6"/>
    <n v="46.8"/>
    <n v="269680.75"/>
    <n v="12621059.1"/>
    <d v="2024-08-09T00:00:00"/>
    <x v="1"/>
    <s v="42f525b9-02ed-43ce-92a8-1713b90ed44b"/>
  </r>
  <r>
    <x v="21"/>
    <x v="8"/>
    <x v="1"/>
    <n v="33"/>
    <n v="261693.68"/>
    <n v="8635891.4399999995"/>
    <d v="2024-01-01T00:00:00"/>
    <x v="4"/>
    <s v="3c7e5368-b159-4847-9c0b-9b10a757cb10"/>
  </r>
  <r>
    <x v="22"/>
    <x v="3"/>
    <x v="3"/>
    <n v="46.8"/>
    <n v="188963.51"/>
    <n v="8843492.2679999992"/>
    <d v="2023-10-13T00:00:00"/>
    <x v="0"/>
    <s v="77242041-1e43-4bd2-aaf4-07f70fe76149"/>
  </r>
  <r>
    <x v="23"/>
    <x v="13"/>
    <x v="4"/>
    <n v="4"/>
    <n v="179274.43"/>
    <n v="717097.72"/>
    <d v="2023-12-14T00:00:00"/>
    <x v="0"/>
    <s v="afa28559-67c9-4204-a8e3-33b64e8adc4b"/>
  </r>
  <r>
    <x v="24"/>
    <x v="7"/>
    <x v="6"/>
    <n v="46.8"/>
    <n v="80026.37"/>
    <n v="3745234.1159999995"/>
    <d v="2025-03-17T00:00:00"/>
    <x v="1"/>
    <s v="e346f415-e526-4a2b-ac50-ace480a52e65"/>
  </r>
  <r>
    <x v="0"/>
    <x v="2"/>
    <x v="6"/>
    <n v="46.8"/>
    <n v="196849.5"/>
    <n v="9212556.5999999996"/>
    <d v="2023-10-26T00:00:00"/>
    <x v="4"/>
    <s v="b0b6dedf-4f9c-4027-8514-4d98b41c504f"/>
  </r>
  <r>
    <x v="25"/>
    <x v="1"/>
    <x v="5"/>
    <n v="42"/>
    <n v="291631.03000000003"/>
    <n v="12248503.26"/>
    <d v="2024-01-10T00:00:00"/>
    <x v="3"/>
    <s v="f0cd7f05-ea87-455e-a382-95d31e0ef546"/>
  </r>
  <r>
    <x v="26"/>
    <x v="14"/>
    <x v="0"/>
    <n v="46.8"/>
    <n v="173753.06"/>
    <n v="8131643.2079999996"/>
    <d v="2025-03-15T00:00:00"/>
    <x v="4"/>
    <s v="Unknown"/>
  </r>
  <r>
    <x v="27"/>
    <x v="8"/>
    <x v="6"/>
    <n v="7"/>
    <n v="68649.2"/>
    <n v="480544.4"/>
    <d v="2024-07-28T00:00:00"/>
    <x v="3"/>
    <s v="3889936a-9d58-47e8-9e17-5b664b87959f"/>
  </r>
  <r>
    <x v="28"/>
    <x v="15"/>
    <x v="7"/>
    <n v="46.8"/>
    <n v="155703.70000000001"/>
    <n v="7286933.1600000001"/>
    <d v="2023-07-31T00:00:00"/>
    <x v="1"/>
    <s v="7a6a2107-2231-4050-b515-94943818cfd3"/>
  </r>
  <r>
    <x v="29"/>
    <x v="2"/>
    <x v="3"/>
    <n v="68"/>
    <n v="15880.87"/>
    <n v="1079899.1599999999"/>
    <d v="2024-04-16T00:00:00"/>
    <x v="1"/>
    <s v="fd247c11-bf6b-4cdf-b479-7b6127372b52"/>
  </r>
  <r>
    <x v="30"/>
    <x v="4"/>
    <x v="6"/>
    <n v="96"/>
    <n v="144394.41"/>
    <n v="13861863.359999999"/>
    <d v="2024-09-13T00:00:00"/>
    <x v="0"/>
    <s v="b3b26337-6a74-4bb7-9fa5-e0aa9b11b530"/>
  </r>
  <r>
    <x v="31"/>
    <x v="10"/>
    <x v="6"/>
    <n v="46.8"/>
    <n v="157507.57999999999"/>
    <n v="7371354.743999999"/>
    <d v="2024-09-27T00:00:00"/>
    <x v="0"/>
    <s v="c1e1b94a-7888-4058-a9ad-0e9b8c9aa1e9"/>
  </r>
  <r>
    <x v="32"/>
    <x v="15"/>
    <x v="7"/>
    <n v="46.8"/>
    <n v="216494.26"/>
    <n v="10131931.368000001"/>
    <d v="2024-04-22T00:00:00"/>
    <x v="0"/>
    <s v="d35ac07a-aa02-47d0-8d4f-8b2b899ac252"/>
  </r>
  <r>
    <x v="33"/>
    <x v="0"/>
    <x v="6"/>
    <n v="46.8"/>
    <n v="232494.54"/>
    <n v="10880744.471999999"/>
    <d v="2024-07-08T00:00:00"/>
    <x v="1"/>
    <s v="ae2ae341-3f59-44f2-8309-3b6e37e9d2e2"/>
  </r>
  <r>
    <x v="34"/>
    <x v="6"/>
    <x v="0"/>
    <n v="46.8"/>
    <n v="114367.01"/>
    <n v="5352376.067999999"/>
    <d v="2025-03-26T00:00:00"/>
    <x v="3"/>
    <s v="c9912032-df85-4777-9887-4bfec1369c65"/>
  </r>
  <r>
    <x v="35"/>
    <x v="16"/>
    <x v="7"/>
    <n v="65"/>
    <n v="246587.56"/>
    <n v="16028191.4"/>
    <d v="2024-09-11T00:00:00"/>
    <x v="1"/>
    <s v="87365a84-725e-434d-8687-9aa914f573d0"/>
  </r>
  <r>
    <x v="36"/>
    <x v="0"/>
    <x v="5"/>
    <n v="79"/>
    <n v="73037.87"/>
    <n v="5769991.7300000004"/>
    <d v="2023-10-19T00:00:00"/>
    <x v="1"/>
    <s v="ead08c89-13fe-4a29-9c9d-eee0b42a0456"/>
  </r>
  <r>
    <x v="0"/>
    <x v="17"/>
    <x v="2"/>
    <n v="46.8"/>
    <n v="171984.8"/>
    <n v="8048888.6399999987"/>
    <d v="2024-10-28T00:00:00"/>
    <x v="0"/>
    <s v="d42a895e-0fcf-401f-9cb9-b73a906d5c8c"/>
  </r>
  <r>
    <x v="37"/>
    <x v="17"/>
    <x v="6"/>
    <n v="46.8"/>
    <n v="155703.70000000001"/>
    <n v="7286933.1600000001"/>
    <d v="2025-05-27T00:00:00"/>
    <x v="4"/>
    <s v="33c08bf1-8167-499f-a723-ada38c32bdb2"/>
  </r>
  <r>
    <x v="38"/>
    <x v="12"/>
    <x v="6"/>
    <n v="46.8"/>
    <n v="210306.01"/>
    <n v="9842321.2679999992"/>
    <d v="2023-09-15T00:00:00"/>
    <x v="0"/>
    <s v="2a1f1b61-265c-49d9-8962-8f6e929c93b3"/>
  </r>
  <r>
    <x v="39"/>
    <x v="2"/>
    <x v="3"/>
    <n v="4"/>
    <n v="57639.91"/>
    <n v="230559.64"/>
    <d v="2023-08-31T00:00:00"/>
    <x v="4"/>
    <s v="Unknown"/>
  </r>
  <r>
    <x v="40"/>
    <x v="9"/>
    <x v="0"/>
    <n v="46.8"/>
    <n v="132591.04999999999"/>
    <n v="6205261.1399999987"/>
    <d v="2024-03-07T00:00:00"/>
    <x v="3"/>
    <s v="711c7673-8535-4a69-9abf-984e53ff8461"/>
  </r>
  <r>
    <x v="41"/>
    <x v="13"/>
    <x v="3"/>
    <n v="46.8"/>
    <n v="125924.7"/>
    <n v="5893275.96"/>
    <d v="2024-05-15T00:00:00"/>
    <x v="3"/>
    <s v="b787ef8d-3495-411e-ae27-d4321dc1e7eb"/>
  </r>
  <r>
    <x v="42"/>
    <x v="5"/>
    <x v="2"/>
    <n v="46.8"/>
    <n v="124181.55"/>
    <n v="5811696.54"/>
    <d v="2025-01-17T00:00:00"/>
    <x v="2"/>
    <s v="e61d9cde-1747-4387-bd23-d47995492a82"/>
  </r>
  <r>
    <x v="43"/>
    <x v="0"/>
    <x v="6"/>
    <n v="46.8"/>
    <n v="61565.56"/>
    <n v="2881268.2079999996"/>
    <d v="2025-01-19T00:00:00"/>
    <x v="2"/>
    <s v="0e3e25f2-cf06-41c7-b20b-274b82a7f586"/>
  </r>
  <r>
    <x v="44"/>
    <x v="16"/>
    <x v="0"/>
    <n v="10"/>
    <n v="150794.94"/>
    <n v="1507949.4"/>
    <d v="2024-07-16T00:00:00"/>
    <x v="2"/>
    <s v="6a5943ce-8364-45e3-a1c7-1aa3741423b5"/>
  </r>
  <r>
    <x v="45"/>
    <x v="6"/>
    <x v="7"/>
    <n v="46.8"/>
    <n v="183637.68"/>
    <n v="8594243.4239999987"/>
    <d v="2024-08-22T00:00:00"/>
    <x v="3"/>
    <s v="8f0d5540-0ec7-4662-905c-7bdd74f0beae"/>
  </r>
  <r>
    <x v="46"/>
    <x v="5"/>
    <x v="6"/>
    <n v="19"/>
    <n v="141745.84"/>
    <n v="2693170.96"/>
    <d v="2024-05-25T00:00:00"/>
    <x v="0"/>
    <s v="4ee4334e-ce92-4136-ac3a-812f765e6cb5"/>
  </r>
  <r>
    <x v="47"/>
    <x v="18"/>
    <x v="5"/>
    <n v="46.8"/>
    <n v="155703.70000000001"/>
    <n v="7286933.1600000001"/>
    <d v="2025-02-27T00:00:00"/>
    <x v="0"/>
    <s v="41241bb4-655c-4508-8592-bfa5b928e23f"/>
  </r>
  <r>
    <x v="48"/>
    <x v="12"/>
    <x v="6"/>
    <n v="46.8"/>
    <n v="254588.91"/>
    <n v="11914760.988"/>
    <d v="2024-05-24T00:00:00"/>
    <x v="0"/>
    <s v="37c86152-beed-4af9-80c5-9f30d1031424"/>
  </r>
  <r>
    <x v="0"/>
    <x v="17"/>
    <x v="1"/>
    <n v="46.8"/>
    <n v="218356.93"/>
    <n v="10219104.323999999"/>
    <d v="2025-04-10T00:00:00"/>
    <x v="1"/>
    <s v="6c776e95-0b98-4ccd-92b2-102d940c3503"/>
  </r>
  <r>
    <x v="49"/>
    <x v="7"/>
    <x v="0"/>
    <n v="46.8"/>
    <n v="211879.67999999999"/>
    <n v="9915969.0239999983"/>
    <d v="2024-09-29T00:00:00"/>
    <x v="2"/>
    <s v="8a89b0f0-1052-41d3-b34c-6c7358330b30"/>
  </r>
  <r>
    <x v="50"/>
    <x v="10"/>
    <x v="1"/>
    <n v="46.8"/>
    <n v="155845.62"/>
    <n v="7293575.0159999989"/>
    <d v="2023-09-06T00:00:00"/>
    <x v="0"/>
    <s v="e4eb8000-ef40-4162-8f6c-e9bffe7ee362"/>
  </r>
  <r>
    <x v="51"/>
    <x v="6"/>
    <x v="7"/>
    <n v="46.8"/>
    <n v="168485.59"/>
    <n v="7885125.6119999997"/>
    <d v="2023-10-16T00:00:00"/>
    <x v="2"/>
    <s v="78d9a88a-ef0b-4a4f-bc73-7d9211ab3d11"/>
  </r>
  <r>
    <x v="52"/>
    <x v="9"/>
    <x v="6"/>
    <n v="46.8"/>
    <n v="299437.8"/>
    <n v="14013689.039999999"/>
    <d v="2024-03-13T00:00:00"/>
    <x v="2"/>
    <s v="Unknown"/>
  </r>
  <r>
    <x v="53"/>
    <x v="3"/>
    <x v="7"/>
    <n v="46.8"/>
    <n v="143772.10999999999"/>
    <n v="6728534.7479999987"/>
    <d v="2024-11-20T00:00:00"/>
    <x v="1"/>
    <s v="2e13418d-68ab-40ea-897e-c6d1081fc6dc"/>
  </r>
  <r>
    <x v="54"/>
    <x v="18"/>
    <x v="4"/>
    <n v="46.8"/>
    <n v="113359.02"/>
    <n v="5305202.1359999999"/>
    <d v="2023-09-06T00:00:00"/>
    <x v="3"/>
    <s v="a43afb7a-c40d-4874-a2ab-7752c4db5a62"/>
  </r>
  <r>
    <x v="55"/>
    <x v="6"/>
    <x v="6"/>
    <n v="46.8"/>
    <n v="287027.3"/>
    <n v="13432877.639999999"/>
    <d v="2024-06-24T00:00:00"/>
    <x v="0"/>
    <s v="f6ba745b-a558-41e3-bab2-b77dfa740cc8"/>
  </r>
  <r>
    <x v="56"/>
    <x v="3"/>
    <x v="1"/>
    <n v="46.8"/>
    <n v="155703.70000000001"/>
    <n v="7286933.1600000001"/>
    <d v="2024-07-06T00:00:00"/>
    <x v="1"/>
    <s v="e42e707a-fe2b-4987-9fdc-abbf6b9cd71c"/>
  </r>
  <r>
    <x v="57"/>
    <x v="0"/>
    <x v="0"/>
    <n v="93"/>
    <n v="138169.23000000001"/>
    <n v="12849738.390000001"/>
    <d v="2024-12-20T00:00:00"/>
    <x v="3"/>
    <s v="eac80da1-de9f-4f5b-b2d3-545861ea2f30"/>
  </r>
  <r>
    <x v="58"/>
    <x v="16"/>
    <x v="1"/>
    <n v="46.8"/>
    <n v="160171.56"/>
    <n v="7496029.0079999994"/>
    <d v="2024-08-15T00:00:00"/>
    <x v="3"/>
    <s v="148b4376-602a-4e57-a0a3-99d4e821e716"/>
  </r>
  <r>
    <x v="59"/>
    <x v="2"/>
    <x v="7"/>
    <n v="46.8"/>
    <n v="164108.82999999999"/>
    <n v="7680293.243999999"/>
    <d v="2024-04-03T00:00:00"/>
    <x v="0"/>
    <s v="dfe2c0a0-a96b-4c42-b6d2-2a7baec76a82"/>
  </r>
  <r>
    <x v="60"/>
    <x v="13"/>
    <x v="2"/>
    <n v="46.8"/>
    <n v="202922.64"/>
    <n v="9496779.5519999992"/>
    <d v="2023-10-18T00:00:00"/>
    <x v="2"/>
    <s v="dc3bbdd8-a74e-42a9-a20b-9ea98a0f9508"/>
  </r>
  <r>
    <x v="0"/>
    <x v="17"/>
    <x v="6"/>
    <n v="46.8"/>
    <n v="260362.49"/>
    <n v="12184964.532"/>
    <d v="2025-05-22T00:00:00"/>
    <x v="4"/>
    <s v="fe2b34d8-2db0-428d-9e5e-be5459077299"/>
  </r>
  <r>
    <x v="61"/>
    <x v="14"/>
    <x v="5"/>
    <n v="94"/>
    <n v="204383.39"/>
    <n v="19212038.66"/>
    <d v="2025-04-14T00:00:00"/>
    <x v="2"/>
    <s v="2099d180-8762-4997-a49f-7d888989c5ab"/>
  </r>
  <r>
    <x v="62"/>
    <x v="17"/>
    <x v="3"/>
    <n v="46.8"/>
    <n v="241193.93"/>
    <n v="11287875.923999999"/>
    <d v="2025-03-08T00:00:00"/>
    <x v="2"/>
    <s v="d5b6de85-3902-49d9-ba8d-ae42ba54e920"/>
  </r>
  <r>
    <x v="63"/>
    <x v="17"/>
    <x v="0"/>
    <n v="46.8"/>
    <n v="79676.47"/>
    <n v="3728858.7959999996"/>
    <d v="2024-09-11T00:00:00"/>
    <x v="4"/>
    <s v="fa7e5d94-05d1-4b63-8194-f97f00e3a026"/>
  </r>
  <r>
    <x v="64"/>
    <x v="10"/>
    <x v="5"/>
    <n v="46.8"/>
    <n v="145511.94"/>
    <n v="6809958.7919999994"/>
    <d v="2024-11-18T00:00:00"/>
    <x v="3"/>
    <s v="b8168aeb-ac6a-4c85-b687-6c624c61845e"/>
  </r>
  <r>
    <x v="65"/>
    <x v="2"/>
    <x v="5"/>
    <n v="46.8"/>
    <n v="155703.70000000001"/>
    <n v="7286933.1600000001"/>
    <d v="2024-10-09T00:00:00"/>
    <x v="4"/>
    <s v="Unknown"/>
  </r>
  <r>
    <x v="66"/>
    <x v="6"/>
    <x v="6"/>
    <n v="61"/>
    <n v="287222.55"/>
    <n v="17520575.550000001"/>
    <d v="2023-11-29T00:00:00"/>
    <x v="4"/>
    <s v="6118433b-882c-4d1e-ac93-a7918b60c511"/>
  </r>
  <r>
    <x v="67"/>
    <x v="12"/>
    <x v="2"/>
    <n v="12"/>
    <n v="84062.42"/>
    <n v="1008749.04"/>
    <d v="2025-02-26T00:00:00"/>
    <x v="1"/>
    <s v="75eb89c2-3f5c-42f3-bacb-43a3d2c7bffb"/>
  </r>
  <r>
    <x v="68"/>
    <x v="14"/>
    <x v="6"/>
    <n v="46.8"/>
    <n v="89900.5"/>
    <n v="4207343.3999999994"/>
    <d v="2023-10-19T00:00:00"/>
    <x v="1"/>
    <s v="3040413c-4690-4b15-a7b6-08dc589decb0"/>
  </r>
  <r>
    <x v="69"/>
    <x v="5"/>
    <x v="2"/>
    <n v="46.8"/>
    <n v="282474.92"/>
    <n v="13219826.255999999"/>
    <d v="2024-06-11T00:00:00"/>
    <x v="1"/>
    <s v="c3f725fe-b99b-4b5a-a00d-a49deffa2002"/>
  </r>
  <r>
    <x v="70"/>
    <x v="3"/>
    <x v="4"/>
    <n v="46.8"/>
    <n v="294686.96000000002"/>
    <n v="13791349.728"/>
    <d v="2024-08-04T00:00:00"/>
    <x v="3"/>
    <s v="a902b73f-cf39-4648-883f-64c31ce362f8"/>
  </r>
  <r>
    <x v="71"/>
    <x v="14"/>
    <x v="0"/>
    <n v="46.8"/>
    <n v="231466.69"/>
    <n v="10832641.092"/>
    <d v="2025-06-17T00:00:00"/>
    <x v="4"/>
    <s v="efad49e9-c41c-447e-9d6b-9b626b535a19"/>
  </r>
  <r>
    <x v="72"/>
    <x v="13"/>
    <x v="7"/>
    <n v="46.8"/>
    <n v="211617.83"/>
    <n v="9903714.4439999983"/>
    <d v="2025-05-15T00:00:00"/>
    <x v="0"/>
    <s v="3d9c4e64-0401-4ced-a398-36bbe23ddfaa"/>
  </r>
  <r>
    <x v="0"/>
    <x v="16"/>
    <x v="7"/>
    <n v="46.8"/>
    <n v="207226.85"/>
    <n v="9698216.5800000001"/>
    <d v="2023-08-23T00:00:00"/>
    <x v="4"/>
    <s v="980cb95c-19d4-4deb-9139-fa1234c1c3ea"/>
  </r>
  <r>
    <x v="73"/>
    <x v="2"/>
    <x v="5"/>
    <n v="46.8"/>
    <n v="146956.42000000001"/>
    <n v="6877560.4560000002"/>
    <d v="2025-04-16T00:00:00"/>
    <x v="3"/>
    <s v="ac09bdb7-9908-4e47-b249-f62c08987462"/>
  </r>
  <r>
    <x v="74"/>
    <x v="5"/>
    <x v="3"/>
    <n v="46.8"/>
    <n v="155703.70000000001"/>
    <n v="7286933.1600000001"/>
    <d v="2023-10-15T00:00:00"/>
    <x v="1"/>
    <s v="3ea6e5b2-0c76-4d28-9f49-5037b40a9181"/>
  </r>
  <r>
    <x v="75"/>
    <x v="3"/>
    <x v="4"/>
    <n v="46.8"/>
    <n v="144201.13"/>
    <n v="6748612.8839999996"/>
    <d v="2024-08-16T00:00:00"/>
    <x v="3"/>
    <s v="705fddf5-66fa-4ca0-8b53-1932bd9419aa"/>
  </r>
  <r>
    <x v="76"/>
    <x v="15"/>
    <x v="7"/>
    <n v="46.8"/>
    <n v="168366.03"/>
    <n v="7879530.2039999999"/>
    <d v="2023-11-06T00:00:00"/>
    <x v="1"/>
    <s v="c11f6bf5-379e-4467-8a2d-b2e63bfda8a6"/>
  </r>
  <r>
    <x v="77"/>
    <x v="9"/>
    <x v="7"/>
    <n v="93"/>
    <n v="280378.37"/>
    <n v="26075188.41"/>
    <d v="2024-03-03T00:00:00"/>
    <x v="3"/>
    <s v="23dfecd7-0e73-4dd7-86ac-1b04dd1d6cd1"/>
  </r>
  <r>
    <x v="78"/>
    <x v="3"/>
    <x v="3"/>
    <n v="46.8"/>
    <n v="216638.48"/>
    <n v="10138680.864"/>
    <d v="2023-11-15T00:00:00"/>
    <x v="0"/>
    <s v="Unknown"/>
  </r>
  <r>
    <x v="79"/>
    <x v="9"/>
    <x v="3"/>
    <n v="46.8"/>
    <n v="86692.92"/>
    <n v="4057228.6559999995"/>
    <d v="2023-11-13T00:00:00"/>
    <x v="1"/>
    <s v="3bf2025f-4a0d-4b73-be54-ee4b80ff5173"/>
  </r>
  <r>
    <x v="80"/>
    <x v="15"/>
    <x v="7"/>
    <n v="46.8"/>
    <n v="172256.3"/>
    <n v="8061594.8399999989"/>
    <d v="2024-03-17T00:00:00"/>
    <x v="1"/>
    <s v="937bf79b-bb44-4adc-aa98-fef8d0d75e37"/>
  </r>
  <r>
    <x v="81"/>
    <x v="16"/>
    <x v="1"/>
    <n v="65"/>
    <n v="163185.67000000001"/>
    <n v="10607068.550000001"/>
    <d v="2025-07-06T00:00:00"/>
    <x v="4"/>
    <s v="c5c51060-9911-41e7-93d5-63ae51a3ac26"/>
  </r>
  <r>
    <x v="82"/>
    <x v="2"/>
    <x v="3"/>
    <n v="46.8"/>
    <n v="268780.26"/>
    <n v="12578916.168"/>
    <d v="2025-01-11T00:00:00"/>
    <x v="3"/>
    <s v="3ca5be29-5217-4bf3-9181-83d1ac2b0cfc"/>
  </r>
  <r>
    <x v="83"/>
    <x v="6"/>
    <x v="1"/>
    <n v="62"/>
    <n v="118662.47"/>
    <n v="7357073.1399999997"/>
    <d v="2024-01-02T00:00:00"/>
    <x v="2"/>
    <s v="fc568b53-24ac-4722-a052-77394d406f1b"/>
  </r>
  <r>
    <x v="84"/>
    <x v="10"/>
    <x v="0"/>
    <n v="46.8"/>
    <n v="155703.70000000001"/>
    <n v="7286933.1600000001"/>
    <d v="2024-04-04T00:00:00"/>
    <x v="2"/>
    <s v="69df14e9-3896-41dd-8570-b59fa903ae67"/>
  </r>
  <r>
    <x v="0"/>
    <x v="7"/>
    <x v="4"/>
    <n v="46.8"/>
    <n v="103867.84"/>
    <n v="4861014.9119999995"/>
    <d v="2025-07-10T00:00:00"/>
    <x v="4"/>
    <s v="8e85140d-0f9a-4b70-8670-7cd64ceda164"/>
  </r>
  <r>
    <x v="85"/>
    <x v="15"/>
    <x v="3"/>
    <n v="46.8"/>
    <n v="232032.77"/>
    <n v="10859133.635999998"/>
    <d v="2024-08-17T00:00:00"/>
    <x v="3"/>
    <s v="bc36dc59-e134-4dfc-9777-7f10f2d2393f"/>
  </r>
  <r>
    <x v="86"/>
    <x v="10"/>
    <x v="0"/>
    <n v="74"/>
    <n v="44369.599999999999"/>
    <n v="3283350.4"/>
    <d v="2025-06-05T00:00:00"/>
    <x v="0"/>
    <s v="adc29178-a041-4612-acd5-8759e95d2761"/>
  </r>
  <r>
    <x v="87"/>
    <x v="19"/>
    <x v="2"/>
    <n v="46.8"/>
    <n v="13098.91"/>
    <n v="613028.98800000001"/>
    <d v="2024-02-16T00:00:00"/>
    <x v="4"/>
    <s v="0c00988a-7ee1-411a-8e4c-3ab56d5d0477"/>
  </r>
  <r>
    <x v="88"/>
    <x v="16"/>
    <x v="5"/>
    <n v="46.8"/>
    <n v="286616.46000000002"/>
    <n v="13413650.328"/>
    <d v="2025-04-28T00:00:00"/>
    <x v="1"/>
    <s v="a4b05c89-f10b-4e9c-982b-91eef8e8035b"/>
  </r>
  <r>
    <x v="89"/>
    <x v="13"/>
    <x v="1"/>
    <n v="46.8"/>
    <n v="24169.32"/>
    <n v="1131124.176"/>
    <d v="2023-09-10T00:00:00"/>
    <x v="0"/>
    <s v="86433603-c92a-4d7c-a193-5990abdd1a8f"/>
  </r>
  <r>
    <x v="90"/>
    <x v="4"/>
    <x v="4"/>
    <n v="46.8"/>
    <n v="277240.88"/>
    <n v="12974873.184"/>
    <d v="2024-01-21T00:00:00"/>
    <x v="3"/>
    <s v="6883ac6e-6a94-4054-b241-4482519894d8"/>
  </r>
  <r>
    <x v="91"/>
    <x v="2"/>
    <x v="1"/>
    <n v="46.8"/>
    <n v="196963.63"/>
    <n v="9217897.8839999996"/>
    <d v="2023-12-10T00:00:00"/>
    <x v="1"/>
    <s v="Unknown"/>
  </r>
  <r>
    <x v="92"/>
    <x v="4"/>
    <x v="2"/>
    <n v="46.8"/>
    <n v="224327.88"/>
    <n v="10498544.784"/>
    <d v="2024-11-15T00:00:00"/>
    <x v="2"/>
    <s v="2f12b150-605f-41eb-8cc5-7e0d26332018"/>
  </r>
  <r>
    <x v="93"/>
    <x v="3"/>
    <x v="4"/>
    <n v="35"/>
    <n v="155703.70000000001"/>
    <n v="5449629.5"/>
    <d v="2024-09-10T00:00:00"/>
    <x v="3"/>
    <s v="3db0174e-7938-478a-89b5-aab0c12169db"/>
  </r>
  <r>
    <x v="94"/>
    <x v="5"/>
    <x v="7"/>
    <n v="46.8"/>
    <n v="64589.05"/>
    <n v="3022767.54"/>
    <d v="2024-02-09T00:00:00"/>
    <x v="1"/>
    <s v="db87d29c-4cfd-4fc1-b9b0-2e2ad96e684f"/>
  </r>
  <r>
    <x v="95"/>
    <x v="5"/>
    <x v="2"/>
    <n v="46.8"/>
    <n v="248471.54"/>
    <n v="11628468.071999999"/>
    <d v="2023-10-16T00:00:00"/>
    <x v="3"/>
    <s v="7688d11f-ce47-48be-a4f4-3c62b523c0de"/>
  </r>
  <r>
    <x v="96"/>
    <x v="2"/>
    <x v="6"/>
    <n v="46.8"/>
    <n v="81704.25"/>
    <n v="3823758.9"/>
    <d v="2024-11-07T00:00:00"/>
    <x v="1"/>
    <s v="69a53b4f-8ff8-469d-8ec0-713dea2c7a51"/>
  </r>
  <r>
    <x v="0"/>
    <x v="7"/>
    <x v="6"/>
    <n v="1"/>
    <n v="168824.4"/>
    <n v="168824.4"/>
    <d v="2024-03-02T00:00:00"/>
    <x v="3"/>
    <s v="87ad8b26-8eaa-4841-aaa0-426df7c0d5f7"/>
  </r>
  <r>
    <x v="97"/>
    <x v="8"/>
    <x v="3"/>
    <n v="46.8"/>
    <n v="81850.63"/>
    <n v="3830609.4840000002"/>
    <d v="2024-10-30T00:00:00"/>
    <x v="2"/>
    <s v="41476506-3e2b-49c9-a36f-6e5c2253e706"/>
  </r>
  <r>
    <x v="98"/>
    <x v="7"/>
    <x v="4"/>
    <n v="46.8"/>
    <n v="33213.360000000001"/>
    <n v="1554385.2479999999"/>
    <d v="2024-08-28T00:00:00"/>
    <x v="4"/>
    <s v="143df5b3-a58e-43dd-948c-1d84340de049"/>
  </r>
  <r>
    <x v="99"/>
    <x v="16"/>
    <x v="3"/>
    <n v="9"/>
    <n v="222396.85"/>
    <n v="2001571.65"/>
    <d v="2023-09-21T00:00:00"/>
    <x v="1"/>
    <s v="5efeef4f-d8dd-4bc0-b325-3aa3ec170298"/>
  </r>
  <r>
    <x v="100"/>
    <x v="17"/>
    <x v="4"/>
    <n v="46.8"/>
    <n v="72164.98"/>
    <n v="3377321.0639999998"/>
    <d v="2024-08-04T00:00:00"/>
    <x v="1"/>
    <s v="d453f867-b97e-4224-891f-691217abb863"/>
  </r>
  <r>
    <x v="101"/>
    <x v="3"/>
    <x v="2"/>
    <n v="4"/>
    <n v="15704.25"/>
    <n v="62817"/>
    <d v="2024-11-19T00:00:00"/>
    <x v="2"/>
    <s v="608e149e-44b9-4602-8d31-812e30c36756"/>
  </r>
  <r>
    <x v="102"/>
    <x v="4"/>
    <x v="4"/>
    <n v="46.8"/>
    <n v="155703.70000000001"/>
    <n v="7286933.1600000001"/>
    <d v="2023-11-18T00:00:00"/>
    <x v="4"/>
    <s v="0a1fc9df-9a59-4974-9adf-4709ac75c344"/>
  </r>
  <r>
    <x v="103"/>
    <x v="11"/>
    <x v="7"/>
    <n v="46.8"/>
    <n v="271602.67"/>
    <n v="12711004.955999998"/>
    <d v="2024-10-12T00:00:00"/>
    <x v="3"/>
    <s v="cdfd9531-302b-4831-92a1-fe7ddfa59722"/>
  </r>
  <r>
    <x v="104"/>
    <x v="19"/>
    <x v="5"/>
    <n v="46.8"/>
    <n v="68088.66"/>
    <n v="3186549.2880000002"/>
    <d v="2024-10-04T00:00:00"/>
    <x v="1"/>
    <s v="Unknown"/>
  </r>
  <r>
    <x v="105"/>
    <x v="6"/>
    <x v="6"/>
    <n v="44"/>
    <n v="70234.55"/>
    <n v="3090320.2"/>
    <d v="2023-11-07T00:00:00"/>
    <x v="4"/>
    <s v="abe42e7d-b96c-4163-966b-e275c2fe8954"/>
  </r>
  <r>
    <x v="106"/>
    <x v="9"/>
    <x v="5"/>
    <n v="46.8"/>
    <n v="30509.29"/>
    <n v="1427834.7719999999"/>
    <d v="2023-11-20T00:00:00"/>
    <x v="3"/>
    <s v="3579c143-7ab9-4428-b78e-65108f10d33e"/>
  </r>
  <r>
    <x v="107"/>
    <x v="0"/>
    <x v="4"/>
    <n v="46.8"/>
    <n v="99422.94"/>
    <n v="4652993.5920000002"/>
    <d v="2024-12-03T00:00:00"/>
    <x v="1"/>
    <s v="4d9dbaeb-553d-4625-a833-4da5de95d695"/>
  </r>
  <r>
    <x v="108"/>
    <x v="4"/>
    <x v="5"/>
    <n v="46.8"/>
    <n v="141984.97"/>
    <n v="6644896.5959999999"/>
    <d v="2024-11-07T00:00:00"/>
    <x v="1"/>
    <s v="363908bf-03ec-48ff-a8b3-d763f4ff3f3a"/>
  </r>
  <r>
    <x v="0"/>
    <x v="14"/>
    <x v="7"/>
    <n v="77"/>
    <n v="204517"/>
    <n v="15747809"/>
    <d v="2025-01-20T00:00:00"/>
    <x v="3"/>
    <s v="bdd151b0-f64a-46ec-b0a5-648eefe9b3d0"/>
  </r>
  <r>
    <x v="109"/>
    <x v="8"/>
    <x v="6"/>
    <n v="7"/>
    <n v="41671.379999999997"/>
    <n v="291699.65999999997"/>
    <d v="2025-06-10T00:00:00"/>
    <x v="2"/>
    <s v="c11bd1c4-ffe3-4366-bf33-7a151e086f20"/>
  </r>
  <r>
    <x v="110"/>
    <x v="12"/>
    <x v="0"/>
    <n v="46.8"/>
    <n v="289373.37"/>
    <n v="13542673.715999998"/>
    <d v="2024-10-23T00:00:00"/>
    <x v="4"/>
    <s v="b2149062-3e1a-463e-aa18-d32c7a9a8ef5"/>
  </r>
  <r>
    <x v="111"/>
    <x v="6"/>
    <x v="4"/>
    <n v="46.8"/>
    <n v="155703.70000000001"/>
    <n v="7286933.1600000001"/>
    <d v="2024-03-29T00:00:00"/>
    <x v="1"/>
    <s v="6589ada1-345a-4934-b42a-2d939aba0f15"/>
  </r>
  <r>
    <x v="112"/>
    <x v="16"/>
    <x v="6"/>
    <n v="46.8"/>
    <n v="293384.26"/>
    <n v="13730383.367999999"/>
    <d v="2025-04-25T00:00:00"/>
    <x v="3"/>
    <s v="52555c75-8d55-419e-bd44-cb2cea45ba41"/>
  </r>
  <r>
    <x v="113"/>
    <x v="16"/>
    <x v="5"/>
    <n v="46.8"/>
    <n v="47803.35"/>
    <n v="2237196.7799999998"/>
    <d v="2025-06-27T00:00:00"/>
    <x v="1"/>
    <s v="775c30b5-6173-4c48-8876-9153c68813fe"/>
  </r>
  <r>
    <x v="114"/>
    <x v="12"/>
    <x v="0"/>
    <n v="46.8"/>
    <n v="196041.39"/>
    <n v="9174737.0519999992"/>
    <d v="2024-09-20T00:00:00"/>
    <x v="3"/>
    <s v="4ef4c34d-5bf8-4f3c-a612-9a1c889d4b76"/>
  </r>
  <r>
    <x v="115"/>
    <x v="13"/>
    <x v="1"/>
    <n v="46.8"/>
    <n v="264253.90999999997"/>
    <n v="12367082.987999998"/>
    <d v="2023-08-11T00:00:00"/>
    <x v="1"/>
    <s v="e1fff6c0-8347-41da-9c11-ab6d42f5b3f5"/>
  </r>
  <r>
    <x v="116"/>
    <x v="11"/>
    <x v="6"/>
    <n v="46.8"/>
    <n v="142972.04"/>
    <n v="6691091.4720000001"/>
    <d v="2025-04-11T00:00:00"/>
    <x v="0"/>
    <s v="cd8563ca-193e-438d-b74c-0afa7f4d908c"/>
  </r>
  <r>
    <x v="117"/>
    <x v="2"/>
    <x v="1"/>
    <n v="46.8"/>
    <n v="195336.34"/>
    <n v="9141740.7119999994"/>
    <d v="2025-05-11T00:00:00"/>
    <x v="2"/>
    <s v="Unknown"/>
  </r>
  <r>
    <x v="118"/>
    <x v="5"/>
    <x v="2"/>
    <n v="46.8"/>
    <n v="226895.35999999999"/>
    <n v="10618702.847999999"/>
    <d v="2023-08-02T00:00:00"/>
    <x v="4"/>
    <s v="c2fa1da8-7830-4631-b8f0-188efb37afae"/>
  </r>
  <r>
    <x v="119"/>
    <x v="1"/>
    <x v="0"/>
    <n v="56"/>
    <n v="86529.89"/>
    <n v="4845673.84"/>
    <d v="2023-09-12T00:00:00"/>
    <x v="2"/>
    <s v="340029c3-ea11-405b-91fa-cefad6f89f7a"/>
  </r>
  <r>
    <x v="120"/>
    <x v="0"/>
    <x v="0"/>
    <n v="46.8"/>
    <n v="85981.89"/>
    <n v="4023952.4519999996"/>
    <d v="2023-08-15T00:00:00"/>
    <x v="2"/>
    <s v="0bb401e7-69f7-43f1-901b-a8515ee68495"/>
  </r>
  <r>
    <x v="0"/>
    <x v="5"/>
    <x v="6"/>
    <n v="46.8"/>
    <n v="155703.70000000001"/>
    <n v="7286933.1600000001"/>
    <d v="2024-11-20T00:00:00"/>
    <x v="4"/>
    <s v="bdc2b74b-38a5-4b49-9d34-aa1890019ed4"/>
  </r>
  <r>
    <x v="121"/>
    <x v="2"/>
    <x v="2"/>
    <n v="46.8"/>
    <n v="18219.189999999999"/>
    <n v="852658.09199999983"/>
    <d v="2025-02-28T00:00:00"/>
    <x v="2"/>
    <s v="8da5d39b-42c2-4797-8426-fcc9255b30e2"/>
  </r>
  <r>
    <x v="122"/>
    <x v="15"/>
    <x v="5"/>
    <n v="46.8"/>
    <n v="230733.14"/>
    <n v="10798310.952"/>
    <d v="2024-09-30T00:00:00"/>
    <x v="0"/>
    <s v="b852b3cd-9442-45e6-9583-1d58ef4c5119"/>
  </r>
  <r>
    <x v="123"/>
    <x v="0"/>
    <x v="3"/>
    <n v="6"/>
    <n v="195863.47"/>
    <n v="1175180.82"/>
    <d v="2024-02-01T00:00:00"/>
    <x v="3"/>
    <s v="32399ffb-2704-4f25-8b91-b8cb6ae66582"/>
  </r>
  <r>
    <x v="124"/>
    <x v="18"/>
    <x v="4"/>
    <n v="46.8"/>
    <n v="70049.95"/>
    <n v="3278337.6599999997"/>
    <d v="2024-11-27T00:00:00"/>
    <x v="4"/>
    <s v="91ddb9bf-613d-4de9-bae2-802354720d2d"/>
  </r>
  <r>
    <x v="125"/>
    <x v="8"/>
    <x v="2"/>
    <n v="8"/>
    <n v="221736.61"/>
    <n v="1773892.88"/>
    <d v="2023-12-21T00:00:00"/>
    <x v="3"/>
    <s v="8cf6e8b8-7fd2-48c3-bee8-2983d5574241"/>
  </r>
  <r>
    <x v="126"/>
    <x v="14"/>
    <x v="0"/>
    <n v="46.8"/>
    <n v="255174.76"/>
    <n v="11942178.767999999"/>
    <d v="2025-02-25T00:00:00"/>
    <x v="1"/>
    <s v="566a9ce7-af52-4b94-b186-e47aa7946320"/>
  </r>
  <r>
    <x v="127"/>
    <x v="13"/>
    <x v="3"/>
    <n v="28"/>
    <n v="11670.82"/>
    <n v="326782.96000000002"/>
    <d v="2024-09-27T00:00:00"/>
    <x v="0"/>
    <s v="7d1645a0-d253-4966-836b-9a0a41e02a89"/>
  </r>
  <r>
    <x v="128"/>
    <x v="1"/>
    <x v="0"/>
    <n v="46.8"/>
    <n v="276480.53000000003"/>
    <n v="12939288.804000001"/>
    <d v="2024-05-29T00:00:00"/>
    <x v="3"/>
    <s v="bd5609c4-a446-4663-b93b-17fbf76d15fd"/>
  </r>
  <r>
    <x v="129"/>
    <x v="2"/>
    <x v="6"/>
    <n v="46.8"/>
    <n v="125656.55"/>
    <n v="5880726.54"/>
    <d v="2024-11-02T00:00:00"/>
    <x v="3"/>
    <s v="bb96f602-2b11-4c36-b5f8-e3a87d97ac0f"/>
  </r>
  <r>
    <x v="130"/>
    <x v="11"/>
    <x v="5"/>
    <n v="16"/>
    <n v="155703.70000000001"/>
    <n v="2491259.2000000002"/>
    <d v="2024-11-18T00:00:00"/>
    <x v="4"/>
    <s v="Unknown"/>
  </r>
  <r>
    <x v="131"/>
    <x v="14"/>
    <x v="7"/>
    <n v="46.8"/>
    <n v="251362.66"/>
    <n v="11763772.488"/>
    <d v="2023-08-03T00:00:00"/>
    <x v="1"/>
    <s v="23d4526b-2b54-4f7a-9a28-37b2cb8383f2"/>
  </r>
  <r>
    <x v="132"/>
    <x v="11"/>
    <x v="0"/>
    <n v="56"/>
    <n v="280209.82"/>
    <n v="15691749.92"/>
    <d v="2024-07-31T00:00:00"/>
    <x v="4"/>
    <s v="2f1dc121-7d02-4c6d-8bea-75c1b86677aa"/>
  </r>
  <r>
    <x v="0"/>
    <x v="0"/>
    <x v="5"/>
    <n v="46.8"/>
    <n v="11383.78"/>
    <n v="532760.90399999998"/>
    <d v="2025-05-31T00:00:00"/>
    <x v="1"/>
    <s v="fd85d7fa-8ac9-4b01-a3ad-64d4eab9eb02"/>
  </r>
  <r>
    <x v="133"/>
    <x v="18"/>
    <x v="1"/>
    <n v="46.8"/>
    <n v="250942.86"/>
    <n v="11744125.847999999"/>
    <d v="2024-11-09T00:00:00"/>
    <x v="4"/>
    <s v="862138ad-0f09-405c-b50d-7a37a44d9fec"/>
  </r>
  <r>
    <x v="134"/>
    <x v="11"/>
    <x v="0"/>
    <n v="46.8"/>
    <n v="236494.21"/>
    <n v="11067929.027999999"/>
    <d v="2024-09-06T00:00:00"/>
    <x v="3"/>
    <s v="13075157-d8c1-48e7-96cd-315508a8ac7f"/>
  </r>
  <r>
    <x v="135"/>
    <x v="12"/>
    <x v="3"/>
    <n v="46.8"/>
    <n v="56300.33"/>
    <n v="2634855.4440000001"/>
    <d v="2024-02-20T00:00:00"/>
    <x v="3"/>
    <s v="0c6b7074-ab10-4c9b-9168-2e09f1f7d904"/>
  </r>
  <r>
    <x v="136"/>
    <x v="10"/>
    <x v="5"/>
    <n v="46"/>
    <n v="224826.46"/>
    <n v="10342017.16"/>
    <d v="2024-11-20T00:00:00"/>
    <x v="0"/>
    <s v="2332a50e-6992-496e-81a2-5ed1c3abb5f1"/>
  </r>
  <r>
    <x v="137"/>
    <x v="4"/>
    <x v="2"/>
    <n v="46.8"/>
    <n v="261751.06"/>
    <n v="12249949.607999999"/>
    <d v="2024-03-01T00:00:00"/>
    <x v="3"/>
    <s v="116658ce-3b3f-4800-a175-a9c3d7b102a9"/>
  </r>
  <r>
    <x v="138"/>
    <x v="17"/>
    <x v="5"/>
    <n v="46.8"/>
    <n v="87195.36"/>
    <n v="4080742.8479999998"/>
    <d v="2024-07-20T00:00:00"/>
    <x v="2"/>
    <s v="37fe032c-0257-4851-a6a9-e100b509109b"/>
  </r>
  <r>
    <x v="139"/>
    <x v="14"/>
    <x v="2"/>
    <n v="46.8"/>
    <n v="155703.70000000001"/>
    <n v="7286933.1600000001"/>
    <d v="2024-01-17T00:00:00"/>
    <x v="3"/>
    <s v="0f79a8a7-5f8a-44bd-b4bd-0c938177b661"/>
  </r>
  <r>
    <x v="140"/>
    <x v="5"/>
    <x v="2"/>
    <n v="46.8"/>
    <n v="11721.12"/>
    <n v="548548.41599999997"/>
    <d v="2025-03-27T00:00:00"/>
    <x v="2"/>
    <s v="ef145064-aab0-4015-a342-2e509e2a7324"/>
  </r>
  <r>
    <x v="141"/>
    <x v="11"/>
    <x v="7"/>
    <n v="46.8"/>
    <n v="89868.47"/>
    <n v="4205844.3959999997"/>
    <d v="2025-03-29T00:00:00"/>
    <x v="3"/>
    <s v="a8c6dbc0-7bb3-447b-a9aa-144b9dd43675"/>
  </r>
  <r>
    <x v="142"/>
    <x v="1"/>
    <x v="3"/>
    <n v="46.8"/>
    <n v="181033.5"/>
    <n v="8472367.7999999989"/>
    <d v="2024-12-24T00:00:00"/>
    <x v="2"/>
    <s v="883f13c6-01b1-48e9-8406-ff447ce40679"/>
  </r>
  <r>
    <x v="143"/>
    <x v="12"/>
    <x v="4"/>
    <n v="46.8"/>
    <n v="278572.23"/>
    <n v="13037180.363999998"/>
    <d v="2024-05-21T00:00:00"/>
    <x v="2"/>
    <s v="Unknown"/>
  </r>
  <r>
    <x v="144"/>
    <x v="15"/>
    <x v="3"/>
    <n v="46.8"/>
    <n v="100845.11"/>
    <n v="4719551.148"/>
    <d v="2024-02-27T00:00:00"/>
    <x v="3"/>
    <s v="04482a22-0308-4a5e-a94d-7b008d388327"/>
  </r>
  <r>
    <x v="0"/>
    <x v="19"/>
    <x v="6"/>
    <n v="46.8"/>
    <n v="136577.54999999999"/>
    <n v="6391829.3399999989"/>
    <d v="2024-06-27T00:00:00"/>
    <x v="2"/>
    <s v="892621df-4655-48b7-b8e1-9f568787ea21"/>
  </r>
  <r>
    <x v="145"/>
    <x v="1"/>
    <x v="0"/>
    <n v="46.8"/>
    <n v="192573.07"/>
    <n v="9012419.675999999"/>
    <d v="2023-09-05T00:00:00"/>
    <x v="0"/>
    <s v="80913ac1-0463-450e-8964-6b96fa3c1628"/>
  </r>
  <r>
    <x v="146"/>
    <x v="0"/>
    <x v="3"/>
    <n v="46.8"/>
    <n v="157533.4"/>
    <n v="7372563.1199999992"/>
    <d v="2024-12-26T00:00:00"/>
    <x v="1"/>
    <s v="6e3a0ba8-ac8d-4c7d-b2a6-e468d02b1243"/>
  </r>
  <r>
    <x v="147"/>
    <x v="17"/>
    <x v="0"/>
    <n v="46.8"/>
    <n v="266833.36"/>
    <n v="12487801.247999998"/>
    <d v="2023-08-26T00:00:00"/>
    <x v="2"/>
    <s v="2de46e91-e8e6-4840-b090-f5a0ce610199"/>
  </r>
  <r>
    <x v="148"/>
    <x v="18"/>
    <x v="0"/>
    <n v="47"/>
    <n v="155703.70000000001"/>
    <n v="7318073.9000000004"/>
    <d v="2023-11-10T00:00:00"/>
    <x v="2"/>
    <s v="863e1f2a-18a8-46ef-ab05-3fc41b656dab"/>
  </r>
  <r>
    <x v="149"/>
    <x v="3"/>
    <x v="0"/>
    <n v="56"/>
    <n v="40692.879999999997"/>
    <n v="2278801.2799999998"/>
    <d v="2024-06-16T00:00:00"/>
    <x v="0"/>
    <s v="9ea9f508-3122-4592-bdb0-2235261e2555"/>
  </r>
  <r>
    <x v="150"/>
    <x v="9"/>
    <x v="7"/>
    <n v="46.8"/>
    <n v="151511.70000000001"/>
    <n v="7090747.5600000005"/>
    <d v="2024-05-28T00:00:00"/>
    <x v="0"/>
    <s v="5abca6e5-d0b1-43eb-809e-7a8086c5d1d6"/>
  </r>
  <r>
    <x v="151"/>
    <x v="3"/>
    <x v="4"/>
    <n v="46.8"/>
    <n v="82214.710000000006"/>
    <n v="3847648.4279999998"/>
    <d v="2024-07-21T00:00:00"/>
    <x v="4"/>
    <s v="143a9aff-659b-4105-8b80-f288446f64dd"/>
  </r>
  <r>
    <x v="152"/>
    <x v="7"/>
    <x v="2"/>
    <n v="68"/>
    <n v="242739.76"/>
    <n v="16506303.68"/>
    <d v="2024-07-05T00:00:00"/>
    <x v="1"/>
    <s v="7580e050-67f1-498c-b594-8a545f804eeb"/>
  </r>
  <r>
    <x v="153"/>
    <x v="6"/>
    <x v="3"/>
    <n v="46.8"/>
    <n v="99539.89"/>
    <n v="4658466.852"/>
    <d v="2023-12-16T00:00:00"/>
    <x v="4"/>
    <s v="b27e1442-fd7f-4973-be42-df5b90a3fbbf"/>
  </r>
  <r>
    <x v="154"/>
    <x v="6"/>
    <x v="6"/>
    <n v="46.8"/>
    <n v="219470.21"/>
    <n v="10271205.828"/>
    <d v="2024-03-31T00:00:00"/>
    <x v="2"/>
    <s v="d3fbe043-af1d-4a1a-8ccb-235539d1c7ff"/>
  </r>
  <r>
    <x v="155"/>
    <x v="19"/>
    <x v="3"/>
    <n v="46.8"/>
    <n v="194661.46"/>
    <n v="9110156.3279999997"/>
    <d v="2024-10-24T00:00:00"/>
    <x v="0"/>
    <s v="fdde64af-a75b-495a-94a3-4f7fd90dd19b"/>
  </r>
  <r>
    <x v="156"/>
    <x v="6"/>
    <x v="2"/>
    <n v="100"/>
    <n v="215720.15"/>
    <n v="21572015"/>
    <d v="2023-10-30T00:00:00"/>
    <x v="2"/>
    <s v="Unknown"/>
  </r>
  <r>
    <x v="0"/>
    <x v="5"/>
    <x v="5"/>
    <n v="46.8"/>
    <n v="4718.22"/>
    <n v="220812.696"/>
    <d v="2024-03-09T00:00:00"/>
    <x v="3"/>
    <s v="081c79d4-c274-47eb-a65f-7b8adbb44021"/>
  </r>
  <r>
    <x v="157"/>
    <x v="4"/>
    <x v="0"/>
    <n v="82"/>
    <n v="155703.70000000001"/>
    <n v="12767703.4"/>
    <d v="2025-05-10T00:00:00"/>
    <x v="1"/>
    <s v="608e2f5c-6117-4270-a7c0-518b17efa621"/>
  </r>
  <r>
    <x v="158"/>
    <x v="4"/>
    <x v="5"/>
    <n v="46.8"/>
    <n v="101465.1"/>
    <n v="4748566.68"/>
    <d v="2025-01-18T00:00:00"/>
    <x v="3"/>
    <s v="a301ec03-0e5d-4c6a-b9db-78628d7dd772"/>
  </r>
  <r>
    <x v="159"/>
    <x v="19"/>
    <x v="6"/>
    <n v="46.8"/>
    <n v="88859.77"/>
    <n v="4158637.236"/>
    <d v="2024-03-15T00:00:00"/>
    <x v="0"/>
    <s v="152aeaec-2bdf-4b41-b3ed-a8f1026b5383"/>
  </r>
  <r>
    <x v="160"/>
    <x v="5"/>
    <x v="5"/>
    <n v="46.8"/>
    <n v="202483.14"/>
    <n v="9476210.9519999996"/>
    <d v="2025-01-31T00:00:00"/>
    <x v="0"/>
    <s v="a518a418-6f14-43f6-9867-888b7ff6b824"/>
  </r>
  <r>
    <x v="161"/>
    <x v="14"/>
    <x v="5"/>
    <n v="83"/>
    <n v="58351.81"/>
    <n v="4843200.2300000004"/>
    <d v="2025-05-09T00:00:00"/>
    <x v="0"/>
    <s v="fa323f69-90db-4ad6-94ce-26bec8cce2c2"/>
  </r>
  <r>
    <x v="162"/>
    <x v="2"/>
    <x v="0"/>
    <n v="31"/>
    <n v="183480.87"/>
    <n v="5687906.9699999997"/>
    <d v="2024-04-04T00:00:00"/>
    <x v="1"/>
    <s v="e5110961-1869-4217-b94d-8fcbdba3496f"/>
  </r>
  <r>
    <x v="163"/>
    <x v="11"/>
    <x v="2"/>
    <n v="46.8"/>
    <n v="191798.38"/>
    <n v="8976164.1840000004"/>
    <d v="2024-05-15T00:00:00"/>
    <x v="4"/>
    <s v="3ad1fa33-0ae4-4c11-ab4d-8f42873570a2"/>
  </r>
  <r>
    <x v="164"/>
    <x v="12"/>
    <x v="2"/>
    <n v="26"/>
    <n v="121944.37"/>
    <n v="3170553.62"/>
    <d v="2023-10-20T00:00:00"/>
    <x v="2"/>
    <s v="b139c476-de3c-488b-a6b9-d31a361f6d90"/>
  </r>
  <r>
    <x v="165"/>
    <x v="8"/>
    <x v="2"/>
    <n v="78"/>
    <n v="128597.12"/>
    <n v="10030575.359999999"/>
    <d v="2025-02-20T00:00:00"/>
    <x v="2"/>
    <s v="45667c48-79ba-430a-9118-c400e336c243"/>
  </r>
  <r>
    <x v="166"/>
    <x v="10"/>
    <x v="3"/>
    <n v="46.8"/>
    <n v="98714.03"/>
    <n v="4619816.6039999994"/>
    <d v="2024-04-23T00:00:00"/>
    <x v="2"/>
    <s v="af36b8cc-1308-4974-ac95-b3ac0beb7c34"/>
  </r>
  <r>
    <x v="167"/>
    <x v="5"/>
    <x v="4"/>
    <n v="10"/>
    <n v="155703.70000000001"/>
    <n v="1557037"/>
    <d v="2024-08-13T00:00:00"/>
    <x v="2"/>
    <s v="8b040f53-e639-49d4-87c6-8688ecf32053"/>
  </r>
  <r>
    <x v="168"/>
    <x v="10"/>
    <x v="3"/>
    <n v="46.8"/>
    <n v="120549.56"/>
    <n v="5641719.4079999998"/>
    <d v="2024-09-19T00:00:00"/>
    <x v="2"/>
    <s v="2dea2d2d-086c-405f-a879-d8f890422eb7"/>
  </r>
  <r>
    <x v="0"/>
    <x v="18"/>
    <x v="5"/>
    <n v="46.8"/>
    <n v="29067.84"/>
    <n v="1360374.912"/>
    <d v="2023-10-01T00:00:00"/>
    <x v="4"/>
    <s v="Unknown"/>
  </r>
  <r>
    <x v="169"/>
    <x v="16"/>
    <x v="4"/>
    <n v="46.8"/>
    <n v="294514.71999999997"/>
    <n v="13783288.895999998"/>
    <d v="2024-03-14T00:00:00"/>
    <x v="3"/>
    <s v="04022b3c-5082-41a5-99b5-9f84edc3a1c3"/>
  </r>
  <r>
    <x v="170"/>
    <x v="17"/>
    <x v="1"/>
    <n v="46.8"/>
    <n v="143497.5"/>
    <n v="6715683"/>
    <d v="2024-01-14T00:00:00"/>
    <x v="1"/>
    <s v="24e9bcfd-9647-4f9f-b508-507af622d842"/>
  </r>
  <r>
    <x v="171"/>
    <x v="13"/>
    <x v="3"/>
    <n v="46.8"/>
    <n v="280779.7"/>
    <n v="13140489.959999999"/>
    <d v="2024-07-07T00:00:00"/>
    <x v="3"/>
    <s v="d226a8b3-b674-410d-9218-c9d6c093bfb0"/>
  </r>
  <r>
    <x v="172"/>
    <x v="11"/>
    <x v="3"/>
    <n v="46.8"/>
    <n v="2545.62"/>
    <n v="119135.01599999999"/>
    <d v="2023-10-14T00:00:00"/>
    <x v="3"/>
    <s v="4c9d6907-13b2-4cec-adca-bf9465f6ba53"/>
  </r>
  <r>
    <x v="173"/>
    <x v="13"/>
    <x v="0"/>
    <n v="46.8"/>
    <n v="115380.53"/>
    <n v="5399808.8039999995"/>
    <d v="2024-02-03T00:00:00"/>
    <x v="2"/>
    <s v="9112fbc0-3d8f-45f4-905f-9096299656e2"/>
  </r>
  <r>
    <x v="174"/>
    <x v="0"/>
    <x v="2"/>
    <n v="46.8"/>
    <n v="134297.29"/>
    <n v="6285113.1720000003"/>
    <d v="2024-06-24T00:00:00"/>
    <x v="2"/>
    <s v="ad5229dd-639f-4471-9975-0f00d5aba8ae"/>
  </r>
  <r>
    <x v="175"/>
    <x v="3"/>
    <x v="2"/>
    <n v="41"/>
    <n v="80464.800000000003"/>
    <n v="3299056.8"/>
    <d v="2024-01-19T00:00:00"/>
    <x v="4"/>
    <s v="6243bed7-54ec-4f33-8a62-4cbde582b678"/>
  </r>
  <r>
    <x v="176"/>
    <x v="3"/>
    <x v="4"/>
    <n v="57"/>
    <n v="155703.70000000001"/>
    <n v="8875110.9000000004"/>
    <d v="2023-10-28T00:00:00"/>
    <x v="1"/>
    <s v="ca5e151b-23d3-4d4c-bd5f-f093c16f9bcc"/>
  </r>
  <r>
    <x v="177"/>
    <x v="6"/>
    <x v="3"/>
    <n v="46.8"/>
    <n v="99222.78"/>
    <n v="4643626.1039999994"/>
    <d v="2023-09-24T00:00:00"/>
    <x v="0"/>
    <s v="1413d64d-b962-48a7-b076-a7dcfd0ce433"/>
  </r>
  <r>
    <x v="178"/>
    <x v="15"/>
    <x v="2"/>
    <n v="46.8"/>
    <n v="174947"/>
    <n v="8187519.5999999996"/>
    <d v="2023-08-19T00:00:00"/>
    <x v="3"/>
    <s v="588a3f87-f96d-40f8-bed6-3da08033f5c2"/>
  </r>
  <r>
    <x v="179"/>
    <x v="1"/>
    <x v="3"/>
    <n v="46.8"/>
    <n v="172076.77"/>
    <n v="8053192.8359999992"/>
    <d v="2024-02-21T00:00:00"/>
    <x v="0"/>
    <s v="3b6dca0d-6fe5-440b-9901-ef870dbf0caf"/>
  </r>
  <r>
    <x v="180"/>
    <x v="7"/>
    <x v="5"/>
    <n v="46.8"/>
    <n v="78835.17"/>
    <n v="3689485.9559999998"/>
    <d v="2024-05-04T00:00:00"/>
    <x v="1"/>
    <s v="9aec56a8-5731-4609-9375-ee90d6b361e4"/>
  </r>
  <r>
    <x v="0"/>
    <x v="5"/>
    <x v="1"/>
    <n v="65"/>
    <n v="108185.85"/>
    <n v="7032080.25"/>
    <d v="2025-05-12T00:00:00"/>
    <x v="3"/>
    <s v="9879cf35-f471-4986-9d26-4599c4dd8df5"/>
  </r>
  <r>
    <x v="181"/>
    <x v="3"/>
    <x v="2"/>
    <n v="46.8"/>
    <n v="71272.62"/>
    <n v="3335558.6159999995"/>
    <d v="2024-10-30T00:00:00"/>
    <x v="0"/>
    <s v="Unknown"/>
  </r>
  <r>
    <x v="182"/>
    <x v="7"/>
    <x v="7"/>
    <n v="58"/>
    <n v="200501.94"/>
    <n v="11629112.52"/>
    <d v="2024-05-30T00:00:00"/>
    <x v="0"/>
    <s v="538d6b8c-c607-41e9-b80b-2cea658e54a2"/>
  </r>
  <r>
    <x v="183"/>
    <x v="3"/>
    <x v="1"/>
    <n v="46.8"/>
    <n v="139885.79999999999"/>
    <n v="6546655.4399999995"/>
    <d v="2024-01-19T00:00:00"/>
    <x v="4"/>
    <s v="c8969c5b-45f8-428d-a255-e1bb07958c1f"/>
  </r>
  <r>
    <x v="184"/>
    <x v="1"/>
    <x v="2"/>
    <n v="37"/>
    <n v="48335.19"/>
    <n v="1788402.03"/>
    <d v="2025-05-13T00:00:00"/>
    <x v="1"/>
    <s v="3a67470c-7d98-402f-b357-41e5fe1a1ba9"/>
  </r>
  <r>
    <x v="185"/>
    <x v="6"/>
    <x v="7"/>
    <n v="83"/>
    <n v="155703.70000000001"/>
    <n v="12923407.100000001"/>
    <d v="2025-06-10T00:00:00"/>
    <x v="1"/>
    <s v="601bfbcb-f0ee-4cce-8d93-e14a5b167158"/>
  </r>
  <r>
    <x v="186"/>
    <x v="9"/>
    <x v="7"/>
    <n v="46.8"/>
    <n v="205979.05"/>
    <n v="9639819.5399999991"/>
    <d v="2023-11-12T00:00:00"/>
    <x v="1"/>
    <s v="95fbe976-ae00-4b7e-af8c-83e56e8d9644"/>
  </r>
  <r>
    <x v="187"/>
    <x v="3"/>
    <x v="2"/>
    <n v="46.8"/>
    <n v="276970.25"/>
    <n v="12962207.699999999"/>
    <d v="2025-04-02T00:00:00"/>
    <x v="3"/>
    <s v="c5acc354-15f0-4cb4-a14c-721da921cb4c"/>
  </r>
  <r>
    <x v="188"/>
    <x v="6"/>
    <x v="1"/>
    <n v="46.8"/>
    <n v="266396.52"/>
    <n v="12467357.136"/>
    <d v="2024-03-21T00:00:00"/>
    <x v="4"/>
    <s v="3f175534-cc4d-4819-8b9d-fd589e5d9c7a"/>
  </r>
  <r>
    <x v="189"/>
    <x v="9"/>
    <x v="0"/>
    <n v="46.8"/>
    <n v="231067.39"/>
    <n v="10813953.852"/>
    <d v="2025-07-05T00:00:00"/>
    <x v="2"/>
    <s v="4499d0a6-1500-4170-92d1-5585b68e47fa"/>
  </r>
  <r>
    <x v="190"/>
    <x v="15"/>
    <x v="4"/>
    <n v="46.8"/>
    <n v="207241.97"/>
    <n v="9698924.1959999986"/>
    <d v="2024-10-01T00:00:00"/>
    <x v="3"/>
    <s v="c8ad0899-b630-494d-a147-adeb277b0667"/>
  </r>
  <r>
    <x v="191"/>
    <x v="6"/>
    <x v="7"/>
    <n v="46.8"/>
    <n v="191794.04"/>
    <n v="8975961.0720000006"/>
    <d v="2025-01-21T00:00:00"/>
    <x v="1"/>
    <s v="63be441d-bd5a-4c9e-a77e-b0aaa247541d"/>
  </r>
  <r>
    <x v="192"/>
    <x v="11"/>
    <x v="2"/>
    <n v="46.8"/>
    <n v="282220.37"/>
    <n v="13207913.316"/>
    <d v="2024-03-09T00:00:00"/>
    <x v="3"/>
    <s v="176de21f-1b46-4bdc-9c56-d9bc5111d31d"/>
  </r>
  <r>
    <x v="0"/>
    <x v="3"/>
    <x v="0"/>
    <n v="46.8"/>
    <n v="110579.4"/>
    <n v="5175115.919999999"/>
    <d v="2023-12-05T00:00:00"/>
    <x v="0"/>
    <s v="71da35b9-4eea-4db8-b165-d77901547950"/>
  </r>
  <r>
    <x v="193"/>
    <x v="2"/>
    <x v="0"/>
    <n v="65"/>
    <n v="66644.350000000006"/>
    <n v="4331882.75"/>
    <d v="2025-02-22T00:00:00"/>
    <x v="3"/>
    <s v="1a2bd69c-450f-49ee-82e7-9a985c238d8d"/>
  </r>
  <r>
    <x v="194"/>
    <x v="19"/>
    <x v="0"/>
    <n v="46.8"/>
    <n v="155703.70000000001"/>
    <n v="7286933.1600000001"/>
    <d v="2023-11-11T00:00:00"/>
    <x v="3"/>
    <s v="Unknown"/>
  </r>
  <r>
    <x v="195"/>
    <x v="10"/>
    <x v="5"/>
    <n v="46.8"/>
    <n v="287229.48"/>
    <n v="13442339.663999999"/>
    <d v="2024-08-01T00:00:00"/>
    <x v="1"/>
    <s v="6e54ac6d-2ff8-487e-9659-1c8921ebfaa9"/>
  </r>
  <r>
    <x v="196"/>
    <x v="5"/>
    <x v="1"/>
    <n v="92"/>
    <n v="143715.48000000001"/>
    <n v="13221824.16"/>
    <d v="2024-08-13T00:00:00"/>
    <x v="0"/>
    <s v="832f52c4-8e03-40cf-8e96-922772e76b51"/>
  </r>
  <r>
    <x v="197"/>
    <x v="4"/>
    <x v="7"/>
    <n v="46.8"/>
    <n v="136766.10999999999"/>
    <n v="6400653.9479999989"/>
    <d v="2024-07-07T00:00:00"/>
    <x v="1"/>
    <s v="16f142a2-06b9-49aa-9a71-67c768759545"/>
  </r>
  <r>
    <x v="198"/>
    <x v="7"/>
    <x v="2"/>
    <n v="23"/>
    <n v="296656.96999999997"/>
    <n v="6823110.3099999996"/>
    <d v="2024-08-01T00:00:00"/>
    <x v="0"/>
    <s v="98d00c2c-17d3-4f32-8de1-596c5a9a206a"/>
  </r>
  <r>
    <x v="199"/>
    <x v="7"/>
    <x v="0"/>
    <n v="46.8"/>
    <n v="112400.64"/>
    <n v="5260349.9519999996"/>
    <d v="2025-05-23T00:00:00"/>
    <x v="0"/>
    <s v="dd1ca267-530d-4da6-88d0-f9e5991965ea"/>
  </r>
  <r>
    <x v="200"/>
    <x v="19"/>
    <x v="4"/>
    <n v="46.8"/>
    <n v="210731.25"/>
    <n v="9862222.5"/>
    <d v="2024-03-06T00:00:00"/>
    <x v="0"/>
    <s v="69ef74e3-4ab6-421c-8328-c136629ef3d8"/>
  </r>
  <r>
    <x v="201"/>
    <x v="3"/>
    <x v="4"/>
    <n v="46.8"/>
    <n v="273882.67"/>
    <n v="12817708.955999998"/>
    <d v="2024-07-31T00:00:00"/>
    <x v="1"/>
    <s v="b98f5dbe-15ae-4e0f-8777-a07f6346d4ef"/>
  </r>
  <r>
    <x v="202"/>
    <x v="19"/>
    <x v="6"/>
    <n v="79"/>
    <n v="227326.48"/>
    <n v="17958791.920000002"/>
    <d v="2023-07-29T00:00:00"/>
    <x v="0"/>
    <s v="fe2390f3-e7bb-4efc-8f3d-c97fe6b0da0a"/>
  </r>
  <r>
    <x v="203"/>
    <x v="8"/>
    <x v="0"/>
    <n v="46.8"/>
    <n v="240697.5"/>
    <n v="11264643"/>
    <d v="2023-09-18T00:00:00"/>
    <x v="4"/>
    <s v="85671b58-926b-4fa5-be24-5fbffa698cd2"/>
  </r>
  <r>
    <x v="204"/>
    <x v="10"/>
    <x v="4"/>
    <n v="46.8"/>
    <n v="155703.70000000001"/>
    <n v="7286933.1600000001"/>
    <d v="2024-05-11T00:00:00"/>
    <x v="4"/>
    <s v="2b64777c-6177-4771-af70-de702b69c95e"/>
  </r>
  <r>
    <x v="0"/>
    <x v="0"/>
    <x v="7"/>
    <n v="46.8"/>
    <n v="247768.25"/>
    <n v="11595554.1"/>
    <d v="2024-08-06T00:00:00"/>
    <x v="2"/>
    <s v="44b64ec1-4d16-4049-84d7-df9a238b05b7"/>
  </r>
  <r>
    <x v="205"/>
    <x v="0"/>
    <x v="1"/>
    <n v="46.8"/>
    <n v="228676.96"/>
    <n v="10702081.727999998"/>
    <d v="2024-06-30T00:00:00"/>
    <x v="4"/>
    <s v="2ace1aa9-1032-46b3-a55b-fc1c7e3d5ee4"/>
  </r>
  <r>
    <x v="206"/>
    <x v="8"/>
    <x v="1"/>
    <n v="46.8"/>
    <n v="204262.41"/>
    <n v="9559480.7879999988"/>
    <d v="2024-01-13T00:00:00"/>
    <x v="2"/>
    <s v="4cbc9044-6bcd-4ce7-86a5-6fe86f46f1b1"/>
  </r>
  <r>
    <x v="207"/>
    <x v="17"/>
    <x v="2"/>
    <n v="46.8"/>
    <n v="178946.43"/>
    <n v="8374692.9239999987"/>
    <d v="2023-12-25T00:00:00"/>
    <x v="4"/>
    <s v="Unknown"/>
  </r>
  <r>
    <x v="208"/>
    <x v="8"/>
    <x v="4"/>
    <n v="46.8"/>
    <n v="236317.52"/>
    <n v="11059659.935999999"/>
    <d v="2024-10-06T00:00:00"/>
    <x v="1"/>
    <s v="5c72aebd-13b1-4e59-885c-d7147bf69552"/>
  </r>
  <r>
    <x v="209"/>
    <x v="8"/>
    <x v="3"/>
    <n v="46.8"/>
    <n v="157889.24"/>
    <n v="7389216.4319999991"/>
    <d v="2024-04-10T00:00:00"/>
    <x v="2"/>
    <s v="b88cddde-3f20-46c2-b1b8-8d65406f64d6"/>
  </r>
  <r>
    <x v="210"/>
    <x v="13"/>
    <x v="4"/>
    <n v="46.8"/>
    <n v="158687.85"/>
    <n v="7426591.3799999999"/>
    <d v="2023-08-17T00:00:00"/>
    <x v="3"/>
    <s v="9dde0188-9803-422e-beec-e88da002352a"/>
  </r>
  <r>
    <x v="211"/>
    <x v="9"/>
    <x v="6"/>
    <n v="46.8"/>
    <n v="108854.57"/>
    <n v="5094393.8760000002"/>
    <d v="2023-08-19T00:00:00"/>
    <x v="3"/>
    <s v="22af711f-1b62-4a9d-b536-6b9f320f72c0"/>
  </r>
  <r>
    <x v="212"/>
    <x v="0"/>
    <x v="3"/>
    <n v="46.8"/>
    <n v="275214.78999999998"/>
    <n v="12880052.171999998"/>
    <d v="2024-02-14T00:00:00"/>
    <x v="4"/>
    <s v="654c11d9-f2e6-4828-81bb-819c4dfe1117"/>
  </r>
  <r>
    <x v="213"/>
    <x v="9"/>
    <x v="6"/>
    <n v="78"/>
    <n v="155703.70000000001"/>
    <n v="12144888.600000001"/>
    <d v="2024-07-29T00:00:00"/>
    <x v="3"/>
    <s v="614077d3-9ec4-4a48-9773-f98d550c2fe9"/>
  </r>
  <r>
    <x v="214"/>
    <x v="16"/>
    <x v="0"/>
    <n v="43"/>
    <n v="34106.53"/>
    <n v="1466580.79"/>
    <d v="2024-10-17T00:00:00"/>
    <x v="4"/>
    <s v="70b27304-545c-488d-9cb9-075ecdd7f460"/>
  </r>
  <r>
    <x v="215"/>
    <x v="15"/>
    <x v="0"/>
    <n v="46.8"/>
    <n v="248717.83"/>
    <n v="11639994.443999998"/>
    <d v="2025-05-26T00:00:00"/>
    <x v="4"/>
    <s v="d2d33488-d0c3-4018-ae3c-dd4f55b145e4"/>
  </r>
  <r>
    <x v="216"/>
    <x v="0"/>
    <x v="2"/>
    <n v="46.8"/>
    <n v="270915"/>
    <n v="12678822"/>
    <d v="2025-04-25T00:00:00"/>
    <x v="3"/>
    <s v="982a2277-f966-459f-a6aa-59e5dc08bf29"/>
  </r>
  <r>
    <x v="0"/>
    <x v="3"/>
    <x v="6"/>
    <n v="46.8"/>
    <n v="61045.96"/>
    <n v="2856950.9279999998"/>
    <d v="2024-11-30T00:00:00"/>
    <x v="3"/>
    <s v="9a6c0db9-5217-4c88-8ce9-53a722d90db3"/>
  </r>
  <r>
    <x v="217"/>
    <x v="10"/>
    <x v="2"/>
    <n v="46.8"/>
    <n v="161229.72"/>
    <n v="7545550.8959999997"/>
    <d v="2024-12-14T00:00:00"/>
    <x v="0"/>
    <s v="7aa061e9-336b-40cb-b1fe-ad13f280df1d"/>
  </r>
  <r>
    <x v="218"/>
    <x v="10"/>
    <x v="7"/>
    <n v="51"/>
    <n v="49778.879999999997"/>
    <n v="2538722.88"/>
    <d v="2024-07-10T00:00:00"/>
    <x v="2"/>
    <s v="65f30779-f6ee-4cdb-ad79-a2d1506e50c7"/>
  </r>
  <r>
    <x v="219"/>
    <x v="5"/>
    <x v="4"/>
    <n v="46.8"/>
    <n v="256418.56"/>
    <n v="12000388.607999999"/>
    <d v="2024-02-17T00:00:00"/>
    <x v="4"/>
    <s v="bc20b9f2-4a9c-489e-91b3-0182f7fe604f"/>
  </r>
  <r>
    <x v="220"/>
    <x v="13"/>
    <x v="3"/>
    <n v="46.8"/>
    <n v="132831.25"/>
    <n v="6216502.5"/>
    <d v="2024-08-30T00:00:00"/>
    <x v="3"/>
    <s v="Unknown"/>
  </r>
  <r>
    <x v="221"/>
    <x v="4"/>
    <x v="3"/>
    <n v="46.8"/>
    <n v="204248.42"/>
    <n v="9558826.0559999999"/>
    <d v="2023-07-17T00:00:00"/>
    <x v="2"/>
    <s v="f7bf5244-7db2-47aa-a205-e54fb1e8c09d"/>
  </r>
  <r>
    <x v="222"/>
    <x v="8"/>
    <x v="2"/>
    <n v="46.8"/>
    <n v="155703.70000000001"/>
    <n v="7286933.1600000001"/>
    <d v="2025-04-29T00:00:00"/>
    <x v="3"/>
    <s v="536d47d7-3e0f-44ce-882f-78fd936cd31c"/>
  </r>
  <r>
    <x v="223"/>
    <x v="14"/>
    <x v="4"/>
    <n v="46.8"/>
    <n v="215216.93"/>
    <n v="10072152.323999999"/>
    <d v="2023-10-02T00:00:00"/>
    <x v="3"/>
    <s v="c92e8c93-d105-48d6-87c1-c01760452909"/>
  </r>
  <r>
    <x v="224"/>
    <x v="2"/>
    <x v="1"/>
    <n v="46.8"/>
    <n v="146903.98000000001"/>
    <n v="6875106.2640000004"/>
    <d v="2024-06-09T00:00:00"/>
    <x v="0"/>
    <s v="ee9bf3e1-1d27-409a-9d71-a89864976593"/>
  </r>
  <r>
    <x v="225"/>
    <x v="13"/>
    <x v="3"/>
    <n v="46.8"/>
    <n v="269717.36"/>
    <n v="12622772.447999999"/>
    <d v="2023-10-23T00:00:00"/>
    <x v="4"/>
    <s v="ff4cc10f-979c-40cf-b326-1887905881df"/>
  </r>
  <r>
    <x v="226"/>
    <x v="3"/>
    <x v="1"/>
    <n v="46.8"/>
    <n v="133922.07"/>
    <n v="6267552.8760000002"/>
    <d v="2025-05-26T00:00:00"/>
    <x v="4"/>
    <s v="c4829b71-ae84-481c-ae0f-b5b38bae591e"/>
  </r>
  <r>
    <x v="227"/>
    <x v="6"/>
    <x v="4"/>
    <n v="46.8"/>
    <n v="17162.919999999998"/>
    <n v="803224.65599999984"/>
    <d v="2024-02-01T00:00:00"/>
    <x v="1"/>
    <s v="ba2aa7ba-f3f8-4c31-86e3-f9498cd34c62"/>
  </r>
  <r>
    <x v="228"/>
    <x v="13"/>
    <x v="1"/>
    <n v="46.8"/>
    <n v="40017.33"/>
    <n v="1872811.044"/>
    <d v="2025-01-26T00:00:00"/>
    <x v="0"/>
    <s v="35ab8466-b557-4b00-b166-cdcf762cdfbc"/>
  </r>
  <r>
    <x v="0"/>
    <x v="5"/>
    <x v="7"/>
    <n v="46.8"/>
    <n v="124919.66"/>
    <n v="5846240.0879999995"/>
    <d v="2024-04-20T00:00:00"/>
    <x v="2"/>
    <s v="d4cee27c-4a94-4e9f-8c35-1e4f703e957f"/>
  </r>
  <r>
    <x v="229"/>
    <x v="0"/>
    <x v="6"/>
    <n v="40"/>
    <n v="169391.4"/>
    <n v="6775656"/>
    <d v="2025-02-23T00:00:00"/>
    <x v="0"/>
    <s v="d908a121-d1a7-4a20-91b4-61e9b15da72d"/>
  </r>
  <r>
    <x v="230"/>
    <x v="9"/>
    <x v="0"/>
    <n v="46.8"/>
    <n v="167859.76"/>
    <n v="7855836.7680000002"/>
    <d v="2024-05-19T00:00:00"/>
    <x v="2"/>
    <s v="ac484366-68bd-40d7-8b88-1c32cbb02a8b"/>
  </r>
  <r>
    <x v="231"/>
    <x v="5"/>
    <x v="0"/>
    <n v="46.8"/>
    <n v="155703.70000000001"/>
    <n v="7286933.1600000001"/>
    <d v="2024-04-20T00:00:00"/>
    <x v="4"/>
    <s v="4d8670bd-a222-4f96-a3a1-3e207fd255ee"/>
  </r>
  <r>
    <x v="232"/>
    <x v="1"/>
    <x v="2"/>
    <n v="25"/>
    <n v="201993.93"/>
    <n v="5049848.25"/>
    <d v="2023-08-15T00:00:00"/>
    <x v="1"/>
    <s v="2775ee42-a89e-42f2-80af-bf3f3df51967"/>
  </r>
  <r>
    <x v="233"/>
    <x v="6"/>
    <x v="7"/>
    <n v="18"/>
    <n v="92796.78"/>
    <n v="1670342.04"/>
    <d v="2024-05-17T00:00:00"/>
    <x v="1"/>
    <s v="Unknown"/>
  </r>
  <r>
    <x v="234"/>
    <x v="3"/>
    <x v="3"/>
    <n v="46.8"/>
    <n v="7020.25"/>
    <n v="328547.69999999995"/>
    <d v="2023-08-19T00:00:00"/>
    <x v="4"/>
    <s v="6082786f-ca00-4f58-ac52-1d13b719bb68"/>
  </r>
  <r>
    <x v="235"/>
    <x v="14"/>
    <x v="2"/>
    <n v="46.8"/>
    <n v="76709.94"/>
    <n v="3590025.1919999998"/>
    <d v="2024-09-25T00:00:00"/>
    <x v="3"/>
    <s v="9912316a-fd9e-4e20-b2f6-095812ef6101"/>
  </r>
  <r>
    <x v="236"/>
    <x v="8"/>
    <x v="2"/>
    <n v="46.8"/>
    <n v="1403.13"/>
    <n v="65666.483999999997"/>
    <d v="2024-09-19T00:00:00"/>
    <x v="0"/>
    <s v="88cc4d49-669b-49b8-950d-f1a07aaf2001"/>
  </r>
  <r>
    <x v="237"/>
    <x v="19"/>
    <x v="0"/>
    <n v="46.8"/>
    <n v="65761.440000000002"/>
    <n v="3077635.392"/>
    <d v="2023-12-09T00:00:00"/>
    <x v="1"/>
    <s v="dea050c6-eb9e-4274-ac6a-37ad81b15db9"/>
  </r>
  <r>
    <x v="238"/>
    <x v="19"/>
    <x v="4"/>
    <n v="46.8"/>
    <n v="22372.34"/>
    <n v="1047025.512"/>
    <d v="2024-04-17T00:00:00"/>
    <x v="3"/>
    <s v="09697101-8b2c-450a-ab15-c11bb113d50b"/>
  </r>
  <r>
    <x v="239"/>
    <x v="10"/>
    <x v="3"/>
    <n v="46.8"/>
    <n v="127397.37"/>
    <n v="5962196.9159999993"/>
    <d v="2024-09-12T00:00:00"/>
    <x v="2"/>
    <s v="b39e4df2-5c0a-4feb-b7ea-e66eca6caf9b"/>
  </r>
  <r>
    <x v="240"/>
    <x v="16"/>
    <x v="2"/>
    <n v="46.8"/>
    <n v="210265.27"/>
    <n v="9840414.6359999981"/>
    <d v="2024-02-20T00:00:00"/>
    <x v="1"/>
    <s v="98049562-8972-4bbd-8ff2-b1c4e53f9644"/>
  </r>
  <r>
    <x v="0"/>
    <x v="9"/>
    <x v="3"/>
    <n v="49"/>
    <n v="155703.70000000001"/>
    <n v="7629481.3000000007"/>
    <d v="2023-09-06T00:00:00"/>
    <x v="2"/>
    <s v="1bffa279-15c1-404f-aa16-3354a35fc9c1"/>
  </r>
  <r>
    <x v="241"/>
    <x v="14"/>
    <x v="6"/>
    <n v="21"/>
    <n v="162578.47"/>
    <n v="3414147.87"/>
    <d v="2024-05-06T00:00:00"/>
    <x v="3"/>
    <s v="aa2960fd-a858-44df-bf8c-1097c4da2c2e"/>
  </r>
  <r>
    <x v="242"/>
    <x v="16"/>
    <x v="4"/>
    <n v="46.8"/>
    <n v="18546.560000000001"/>
    <n v="867979.00800000003"/>
    <d v="2024-08-05T00:00:00"/>
    <x v="2"/>
    <s v="9cd8758b-a5a1-4825-aa95-28c35ae1dbad"/>
  </r>
  <r>
    <x v="243"/>
    <x v="1"/>
    <x v="3"/>
    <n v="46.8"/>
    <n v="268318.42"/>
    <n v="12557302.055999998"/>
    <d v="2024-06-24T00:00:00"/>
    <x v="3"/>
    <s v="a520c3d0-fbcd-4f5e-902f-34650b570720"/>
  </r>
  <r>
    <x v="244"/>
    <x v="16"/>
    <x v="1"/>
    <n v="57"/>
    <n v="295848.11"/>
    <n v="16863342.27"/>
    <d v="2025-02-23T00:00:00"/>
    <x v="2"/>
    <s v="f780ef2f-664d-4922-a590-fd3cad6ecc57"/>
  </r>
  <r>
    <x v="245"/>
    <x v="2"/>
    <x v="2"/>
    <n v="46.8"/>
    <n v="141885.32"/>
    <n v="6640232.9759999998"/>
    <d v="2024-09-10T00:00:00"/>
    <x v="0"/>
    <s v="cbd5cc86-f739-46e9-94e3-8579c0afd193"/>
  </r>
  <r>
    <x v="246"/>
    <x v="13"/>
    <x v="1"/>
    <n v="46.8"/>
    <n v="86483.67"/>
    <n v="4047435.7559999996"/>
    <d v="2024-02-13T00:00:00"/>
    <x v="1"/>
    <s v="Unknown"/>
  </r>
  <r>
    <x v="247"/>
    <x v="18"/>
    <x v="4"/>
    <n v="46.8"/>
    <n v="54404.41"/>
    <n v="2546126.3879999998"/>
    <d v="2025-04-12T00:00:00"/>
    <x v="1"/>
    <s v="193e4783-02b3-4254-9b1f-2eb16e3255a8"/>
  </r>
  <r>
    <x v="248"/>
    <x v="8"/>
    <x v="7"/>
    <n v="46.8"/>
    <n v="41060.949999999997"/>
    <n v="1921652.4599999997"/>
    <d v="2024-11-06T00:00:00"/>
    <x v="3"/>
    <s v="bf31c29f-82bb-4d84-b8d5-101f423cad9d"/>
  </r>
  <r>
    <x v="249"/>
    <x v="5"/>
    <x v="1"/>
    <n v="46.8"/>
    <n v="192636.74"/>
    <n v="9015399.4319999982"/>
    <d v="2024-12-20T00:00:00"/>
    <x v="2"/>
    <s v="b00ac64c-949c-48d4-8ed8-a80d84cfee39"/>
  </r>
  <r>
    <x v="250"/>
    <x v="19"/>
    <x v="2"/>
    <n v="58"/>
    <n v="155703.70000000001"/>
    <n v="9030814.6000000015"/>
    <d v="2024-10-27T00:00:00"/>
    <x v="4"/>
    <s v="5fc64cd0-721e-4b1f-b895-89399342a09f"/>
  </r>
  <r>
    <x v="251"/>
    <x v="4"/>
    <x v="2"/>
    <n v="69"/>
    <n v="218922.21"/>
    <n v="15105632.49"/>
    <d v="2023-10-11T00:00:00"/>
    <x v="1"/>
    <s v="adf75924-c5b8-486b-b68b-4f7e64215e66"/>
  </r>
  <r>
    <x v="252"/>
    <x v="10"/>
    <x v="0"/>
    <n v="46.8"/>
    <n v="289152.88"/>
    <n v="13532354.784"/>
    <d v="2023-10-18T00:00:00"/>
    <x v="2"/>
    <s v="2697384d-801e-4690-b0c0-7fcc96add4df"/>
  </r>
  <r>
    <x v="0"/>
    <x v="18"/>
    <x v="4"/>
    <n v="46.8"/>
    <n v="112651.05"/>
    <n v="5272069.1399999997"/>
    <d v="2023-09-24T00:00:00"/>
    <x v="2"/>
    <s v="7b96e2d1-0649-4cf6-bf69-723d584fc85b"/>
  </r>
  <r>
    <x v="253"/>
    <x v="10"/>
    <x v="0"/>
    <n v="46.8"/>
    <n v="267454.40999999997"/>
    <n v="12516866.387999998"/>
    <d v="2024-05-11T00:00:00"/>
    <x v="0"/>
    <s v="eba900e1-6a7d-4d96-8ba1-72331ac3bf31"/>
  </r>
  <r>
    <x v="254"/>
    <x v="9"/>
    <x v="2"/>
    <n v="46.8"/>
    <n v="134836.87"/>
    <n v="6310365.5159999998"/>
    <d v="2024-04-25T00:00:00"/>
    <x v="4"/>
    <s v="d4d13d55-1db6-4844-95fa-9483f633cc2d"/>
  </r>
  <r>
    <x v="255"/>
    <x v="7"/>
    <x v="6"/>
    <n v="46.8"/>
    <n v="275175.96999999997"/>
    <n v="12878235.395999998"/>
    <d v="2025-03-19T00:00:00"/>
    <x v="1"/>
    <s v="592c1107-2444-4301-baeb-286bf0d0270f"/>
  </r>
  <r>
    <x v="256"/>
    <x v="5"/>
    <x v="2"/>
    <n v="46.8"/>
    <n v="113560.16"/>
    <n v="5314615.4879999999"/>
    <d v="2024-03-30T00:00:00"/>
    <x v="0"/>
    <s v="c8c5eb2a-7490-4deb-97d3-37d34fd80bbb"/>
  </r>
  <r>
    <x v="257"/>
    <x v="9"/>
    <x v="0"/>
    <n v="46.8"/>
    <n v="24534.87"/>
    <n v="1148231.916"/>
    <d v="2024-09-16T00:00:00"/>
    <x v="4"/>
    <s v="592a3549-7ba1-49d0-8567-c80534f541c0"/>
  </r>
  <r>
    <x v="258"/>
    <x v="15"/>
    <x v="0"/>
    <n v="54"/>
    <n v="289261.24"/>
    <n v="15620106.960000001"/>
    <d v="2025-07-09T00:00:00"/>
    <x v="1"/>
    <s v="b8d49848-702b-449f-98fd-d2b979e5c9aa"/>
  </r>
  <r>
    <x v="259"/>
    <x v="9"/>
    <x v="4"/>
    <n v="46.8"/>
    <n v="155703.70000000001"/>
    <n v="7286933.1600000001"/>
    <d v="2024-04-19T00:00:00"/>
    <x v="0"/>
    <s v="Unknown"/>
  </r>
  <r>
    <x v="260"/>
    <x v="9"/>
    <x v="7"/>
    <n v="46.8"/>
    <n v="262428.84000000003"/>
    <n v="12281669.712000001"/>
    <d v="2025-02-16T00:00:00"/>
    <x v="4"/>
    <s v="1132567c-51a4-4d2a-b3d3-9457b25f13df"/>
  </r>
  <r>
    <x v="261"/>
    <x v="7"/>
    <x v="6"/>
    <n v="46.8"/>
    <n v="40330.449999999997"/>
    <n v="1887465.0599999998"/>
    <d v="2023-10-31T00:00:00"/>
    <x v="1"/>
    <s v="b5f59cb0-cf68-4878-8b70-59334cde1b6b"/>
  </r>
  <r>
    <x v="262"/>
    <x v="19"/>
    <x v="5"/>
    <n v="46.8"/>
    <n v="258155.83"/>
    <n v="12081692.843999999"/>
    <d v="2023-12-12T00:00:00"/>
    <x v="4"/>
    <s v="57d3f4dd-d963-4c72-85c8-234b1d763a66"/>
  </r>
  <r>
    <x v="263"/>
    <x v="11"/>
    <x v="2"/>
    <n v="71"/>
    <n v="36030.629999999997"/>
    <n v="2558174.73"/>
    <d v="2024-10-20T00:00:00"/>
    <x v="2"/>
    <s v="ccd015c1-ad59-40dd-9bff-3142a5e15b55"/>
  </r>
  <r>
    <x v="264"/>
    <x v="11"/>
    <x v="7"/>
    <n v="46.8"/>
    <n v="297857.61"/>
    <n v="13939736.147999998"/>
    <d v="2024-08-09T00:00:00"/>
    <x v="3"/>
    <s v="bd90b81a-fbe0-46b8-ae0f-65a82a131c1f"/>
  </r>
  <r>
    <x v="0"/>
    <x v="14"/>
    <x v="4"/>
    <n v="46.8"/>
    <n v="118221.06"/>
    <n v="5532745.608"/>
    <d v="2024-05-17T00:00:00"/>
    <x v="3"/>
    <s v="8d49fe3f-2ca8-4783-8418-2d353e711433"/>
  </r>
  <r>
    <x v="265"/>
    <x v="9"/>
    <x v="3"/>
    <n v="11"/>
    <n v="38640.449999999997"/>
    <n v="425044.95"/>
    <d v="2024-08-02T00:00:00"/>
    <x v="2"/>
    <s v="6d268b37-8f52-42d3-94bb-bcf828fea761"/>
  </r>
  <r>
    <x v="266"/>
    <x v="11"/>
    <x v="7"/>
    <n v="46.8"/>
    <n v="293627.95"/>
    <n v="13741788.060000001"/>
    <d v="2023-08-11T00:00:00"/>
    <x v="4"/>
    <s v="cc39b925-3b5a-4288-b649-2e64f55dce6d"/>
  </r>
  <r>
    <x v="267"/>
    <x v="6"/>
    <x v="2"/>
    <n v="66"/>
    <n v="250529.07"/>
    <n v="16534918.619999999"/>
    <d v="2023-08-15T00:00:00"/>
    <x v="2"/>
    <s v="2fb70dab-2f38-4b43-a137-f8e467b13040"/>
  </r>
  <r>
    <x v="268"/>
    <x v="14"/>
    <x v="7"/>
    <n v="56"/>
    <n v="155703.70000000001"/>
    <n v="8719407.2000000011"/>
    <d v="2023-08-10T00:00:00"/>
    <x v="3"/>
    <s v="6544e313-6ea0-4d13-a845-54c3a3f66c61"/>
  </r>
  <r>
    <x v="269"/>
    <x v="6"/>
    <x v="1"/>
    <n v="46.8"/>
    <n v="226975.73"/>
    <n v="10622464.163999999"/>
    <d v="2023-10-25T00:00:00"/>
    <x v="3"/>
    <s v="e212ab7c-9d36-4cb6-bcc5-7be00779250a"/>
  </r>
  <r>
    <x v="270"/>
    <x v="12"/>
    <x v="0"/>
    <n v="45"/>
    <n v="293557.96000000002"/>
    <n v="13210108.199999999"/>
    <d v="2025-01-15T00:00:00"/>
    <x v="4"/>
    <s v="6df72cd3-979a-4051-b317-591a3283daa4"/>
  </r>
  <r>
    <x v="271"/>
    <x v="6"/>
    <x v="0"/>
    <n v="54"/>
    <n v="139169.67000000001"/>
    <n v="7515162.1799999997"/>
    <d v="2024-03-25T00:00:00"/>
    <x v="3"/>
    <s v="36fce0ac-b469-4db3-8123-a348638abdf6"/>
  </r>
  <r>
    <x v="272"/>
    <x v="3"/>
    <x v="2"/>
    <n v="46.8"/>
    <n v="215868.65"/>
    <n v="10102652.819999998"/>
    <d v="2025-03-26T00:00:00"/>
    <x v="2"/>
    <s v="Unknown"/>
  </r>
  <r>
    <x v="273"/>
    <x v="16"/>
    <x v="1"/>
    <n v="48"/>
    <n v="127526.34"/>
    <n v="6121264.3200000003"/>
    <d v="2024-07-12T00:00:00"/>
    <x v="4"/>
    <s v="b4299924-c098-4750-8741-9b4834ae4abd"/>
  </r>
  <r>
    <x v="274"/>
    <x v="0"/>
    <x v="6"/>
    <n v="50"/>
    <n v="114093.3"/>
    <n v="5704665"/>
    <d v="2024-08-17T00:00:00"/>
    <x v="2"/>
    <s v="93cd1291-1004-4d82-8bc7-2f1acf08ea54"/>
  </r>
  <r>
    <x v="275"/>
    <x v="7"/>
    <x v="0"/>
    <n v="48"/>
    <n v="69284.39"/>
    <n v="3325650.72"/>
    <d v="2024-06-29T00:00:00"/>
    <x v="4"/>
    <s v="89718eea-df3a-498a-8cac-2fb51a0c6c04"/>
  </r>
  <r>
    <x v="225"/>
    <x v="3"/>
    <x v="4"/>
    <n v="46.8"/>
    <n v="138457.26999999999"/>
    <n v="6479800.2359999996"/>
    <d v="2023-11-03T00:00:00"/>
    <x v="3"/>
    <s v="327375bf-5373-4f4d-9da4-9cb92fdc9992"/>
  </r>
  <r>
    <x v="0"/>
    <x v="7"/>
    <x v="0"/>
    <n v="46.8"/>
    <n v="46958.85"/>
    <n v="2197674.1799999997"/>
    <d v="2024-10-23T00:00:00"/>
    <x v="1"/>
    <s v="abb316a7-4329-4780-9d2c-272175220646"/>
  </r>
  <r>
    <x v="276"/>
    <x v="12"/>
    <x v="5"/>
    <n v="46.8"/>
    <n v="155703.70000000001"/>
    <n v="7286933.1600000001"/>
    <d v="2025-06-03T00:00:00"/>
    <x v="4"/>
    <s v="f7464c02-8718-44c1-bd4e-d26edcd5bfae"/>
  </r>
  <r>
    <x v="277"/>
    <x v="9"/>
    <x v="6"/>
    <n v="19"/>
    <n v="56949.9"/>
    <n v="1082048.1000000001"/>
    <d v="2024-08-14T00:00:00"/>
    <x v="4"/>
    <s v="637ddcd6-98d3-448b-903b-4078a39c9ec6"/>
  </r>
  <r>
    <x v="278"/>
    <x v="12"/>
    <x v="5"/>
    <n v="46.8"/>
    <n v="262624.84999999998"/>
    <n v="12290842.979999999"/>
    <d v="2023-10-27T00:00:00"/>
    <x v="1"/>
    <s v="1d3e503a-9645-40e4-a47d-c3929c7eb575"/>
  </r>
  <r>
    <x v="279"/>
    <x v="6"/>
    <x v="5"/>
    <n v="46.8"/>
    <n v="229764.23"/>
    <n v="10752965.964"/>
    <d v="2024-03-21T00:00:00"/>
    <x v="3"/>
    <s v="753659ef-d873-4ad9-9a1b-af0e591196dc"/>
  </r>
  <r>
    <x v="280"/>
    <x v="8"/>
    <x v="4"/>
    <n v="46.8"/>
    <n v="10149.09"/>
    <n v="474977.41199999995"/>
    <d v="2025-07-03T00:00:00"/>
    <x v="2"/>
    <s v="ac7051d1-d051-467f-ac2a-c34b9e0b7b01"/>
  </r>
  <r>
    <x v="281"/>
    <x v="7"/>
    <x v="1"/>
    <n v="46.8"/>
    <n v="198229.21"/>
    <n v="9277127.027999999"/>
    <d v="2024-10-29T00:00:00"/>
    <x v="0"/>
    <s v="eb2ec80e-4c25-4823-8cf4-ffb0b4bba73f"/>
  </r>
  <r>
    <x v="282"/>
    <x v="7"/>
    <x v="5"/>
    <n v="79"/>
    <n v="184669.5"/>
    <n v="14588890.5"/>
    <d v="2024-03-14T00:00:00"/>
    <x v="1"/>
    <s v="ac0f6801-15b2-4e1d-9715-46339d4edb71"/>
  </r>
  <r>
    <x v="283"/>
    <x v="11"/>
    <x v="6"/>
    <n v="11"/>
    <n v="280903.26"/>
    <n v="3089935.86"/>
    <d v="2023-11-14T00:00:00"/>
    <x v="0"/>
    <s v="3d131a3d-1e2c-4e7d-902c-f0ee224a66a6"/>
  </r>
  <r>
    <x v="284"/>
    <x v="15"/>
    <x v="0"/>
    <n v="33"/>
    <n v="266767.88"/>
    <n v="8803340.0399999991"/>
    <d v="2024-05-11T00:00:00"/>
    <x v="3"/>
    <s v="Unknown"/>
  </r>
  <r>
    <x v="285"/>
    <x v="2"/>
    <x v="2"/>
    <n v="46.8"/>
    <n v="72579.56"/>
    <n v="3396723.4079999998"/>
    <d v="2024-10-31T00:00:00"/>
    <x v="4"/>
    <s v="5f90fc87-2edc-417e-9df0-5d184e2d6255"/>
  </r>
  <r>
    <x v="286"/>
    <x v="10"/>
    <x v="6"/>
    <n v="46.8"/>
    <n v="155703.70000000001"/>
    <n v="7286933.1600000001"/>
    <d v="2025-02-04T00:00:00"/>
    <x v="4"/>
    <s v="63725424-82c5-4b21-a430-12dab1850eb8"/>
  </r>
  <r>
    <x v="287"/>
    <x v="15"/>
    <x v="7"/>
    <n v="46.8"/>
    <n v="20653.63"/>
    <n v="966589.88399999996"/>
    <d v="2025-04-25T00:00:00"/>
    <x v="3"/>
    <s v="93267d25-234b-4562-98af-5cca6b11b7cb"/>
  </r>
  <r>
    <x v="0"/>
    <x v="3"/>
    <x v="0"/>
    <n v="46.8"/>
    <n v="178386.27"/>
    <n v="8348477.4359999988"/>
    <d v="2024-02-28T00:00:00"/>
    <x v="2"/>
    <s v="7c966b55-2f8d-4ded-ac4c-450b623ad0fc"/>
  </r>
  <r>
    <x v="288"/>
    <x v="2"/>
    <x v="4"/>
    <n v="46.8"/>
    <n v="134209.1"/>
    <n v="6280985.8799999999"/>
    <d v="2024-10-14T00:00:00"/>
    <x v="2"/>
    <s v="eb4e2281-b184-41fc-8991-b01aa2b03c4b"/>
  </r>
  <r>
    <x v="289"/>
    <x v="16"/>
    <x v="5"/>
    <n v="16"/>
    <n v="201771.08"/>
    <n v="3228337.28"/>
    <d v="2024-03-28T00:00:00"/>
    <x v="3"/>
    <s v="2c591da8-fff9-4acf-ae42-05eea52fc3ec"/>
  </r>
  <r>
    <x v="290"/>
    <x v="4"/>
    <x v="2"/>
    <n v="46.8"/>
    <n v="261727.62"/>
    <n v="12248852.615999999"/>
    <d v="2024-08-08T00:00:00"/>
    <x v="3"/>
    <s v="49f1137d-7d59-4e19-aab7-b2ef8e0ec033"/>
  </r>
  <r>
    <x v="291"/>
    <x v="18"/>
    <x v="5"/>
    <n v="46.8"/>
    <n v="73797.88"/>
    <n v="3453740.784"/>
    <d v="2025-04-14T00:00:00"/>
    <x v="3"/>
    <s v="d78c57d3-5088-40d3-afe5-b14023ea7956"/>
  </r>
  <r>
    <x v="292"/>
    <x v="13"/>
    <x v="4"/>
    <n v="59"/>
    <n v="13748.9"/>
    <n v="811185.1"/>
    <d v="2024-08-09T00:00:00"/>
    <x v="3"/>
    <s v="dd92dd7c-0db9-47a9-9e91-a71c7374ccbf"/>
  </r>
  <r>
    <x v="293"/>
    <x v="15"/>
    <x v="6"/>
    <n v="46.8"/>
    <n v="131969.35999999999"/>
    <n v="6176166.0479999986"/>
    <d v="2024-08-27T00:00:00"/>
    <x v="3"/>
    <s v="7c0f549d-0274-4f73-b3ab-ea0d5be9fdb3"/>
  </r>
  <r>
    <x v="294"/>
    <x v="6"/>
    <x v="7"/>
    <n v="46.8"/>
    <n v="162158.06"/>
    <n v="7588997.2079999996"/>
    <d v="2024-07-25T00:00:00"/>
    <x v="3"/>
    <s v="624a2a50-d0b1-4de0-b1f3-f0c022f3f068"/>
  </r>
  <r>
    <x v="295"/>
    <x v="1"/>
    <x v="0"/>
    <n v="46.8"/>
    <n v="155703.70000000001"/>
    <n v="7286933.1600000001"/>
    <d v="2025-01-11T00:00:00"/>
    <x v="4"/>
    <s v="a72f947d-8164-42cb-8fc3-d7d3f6bd80c7"/>
  </r>
  <r>
    <x v="296"/>
    <x v="13"/>
    <x v="6"/>
    <n v="46.8"/>
    <n v="226438.52"/>
    <n v="10597322.736"/>
    <d v="2024-09-20T00:00:00"/>
    <x v="0"/>
    <s v="7de1bf5d-af48-47f0-a8bd-075b7eb6581e"/>
  </r>
  <r>
    <x v="297"/>
    <x v="12"/>
    <x v="7"/>
    <n v="46.8"/>
    <n v="232931.05"/>
    <n v="10901173.139999999"/>
    <d v="2024-02-28T00:00:00"/>
    <x v="2"/>
    <s v="Unknown"/>
  </r>
  <r>
    <x v="298"/>
    <x v="7"/>
    <x v="3"/>
    <n v="46.8"/>
    <n v="42470.6"/>
    <n v="1987624.0799999998"/>
    <d v="2024-07-13T00:00:00"/>
    <x v="0"/>
    <s v="71a0449d-d703-462f-b5cb-e3f56a66c184"/>
  </r>
  <r>
    <x v="299"/>
    <x v="0"/>
    <x v="5"/>
    <n v="55"/>
    <n v="298048.28999999998"/>
    <n v="16392655.949999999"/>
    <d v="2025-04-04T00:00:00"/>
    <x v="4"/>
    <s v="90bde900-1529-46f5-aad1-1fe87d1b695e"/>
  </r>
  <r>
    <x v="0"/>
    <x v="6"/>
    <x v="0"/>
    <n v="46.8"/>
    <n v="70631.37"/>
    <n v="3305548.1159999995"/>
    <d v="2023-07-23T00:00:00"/>
    <x v="1"/>
    <s v="38749f3c-c2d4-4b56-8bbe-d98007e67cb0"/>
  </r>
  <r>
    <x v="300"/>
    <x v="5"/>
    <x v="0"/>
    <n v="46.8"/>
    <n v="274960.90999999997"/>
    <n v="12868170.587999998"/>
    <d v="2024-04-22T00:00:00"/>
    <x v="0"/>
    <s v="398f569b-465c-42cb-885e-b4894ac66780"/>
  </r>
  <r>
    <x v="301"/>
    <x v="10"/>
    <x v="7"/>
    <n v="54"/>
    <n v="173045.05"/>
    <n v="9344432.6999999993"/>
    <d v="2024-03-24T00:00:00"/>
    <x v="1"/>
    <s v="c7de96ea-2b0f-4e44-89e6-4c2289a0b7eb"/>
  </r>
  <r>
    <x v="302"/>
    <x v="11"/>
    <x v="3"/>
    <n v="46.8"/>
    <n v="173453.71"/>
    <n v="8117633.6279999996"/>
    <d v="2024-12-15T00:00:00"/>
    <x v="4"/>
    <s v="c5c5ae8a-be15-4d12-90ce-77e9751303b9"/>
  </r>
  <r>
    <x v="303"/>
    <x v="2"/>
    <x v="2"/>
    <n v="46.8"/>
    <n v="231875.19"/>
    <n v="10851758.891999999"/>
    <d v="2023-10-04T00:00:00"/>
    <x v="2"/>
    <s v="82c42e48-8cba-4ae5-becc-daf4c4134dc2"/>
  </r>
  <r>
    <x v="304"/>
    <x v="4"/>
    <x v="1"/>
    <n v="47"/>
    <n v="155703.70000000001"/>
    <n v="7318073.9000000004"/>
    <d v="2024-05-29T00:00:00"/>
    <x v="1"/>
    <s v="44945e09-1d3c-45a4-929d-63771cfb655f"/>
  </r>
  <r>
    <x v="305"/>
    <x v="17"/>
    <x v="2"/>
    <n v="46.8"/>
    <n v="245605.56"/>
    <n v="11494340.207999999"/>
    <d v="2024-10-06T00:00:00"/>
    <x v="4"/>
    <s v="fdab3441-d2c2-4960-8b09-01abc66dceb3"/>
  </r>
  <r>
    <x v="306"/>
    <x v="6"/>
    <x v="0"/>
    <n v="46.8"/>
    <n v="71452.759999999995"/>
    <n v="3343989.1679999996"/>
    <d v="2024-03-05T00:00:00"/>
    <x v="3"/>
    <s v="c1bcbe59-d296-412d-8ac3-5ac45deaa737"/>
  </r>
  <r>
    <x v="307"/>
    <x v="3"/>
    <x v="0"/>
    <n v="71"/>
    <n v="262939.37"/>
    <n v="18668695.27"/>
    <d v="2025-03-20T00:00:00"/>
    <x v="2"/>
    <s v="70fd6672-b80f-46c5-828f-a16b0aa6fcb9"/>
  </r>
  <r>
    <x v="308"/>
    <x v="17"/>
    <x v="4"/>
    <n v="46.8"/>
    <n v="295715.82"/>
    <n v="13839500.376"/>
    <d v="2025-06-08T00:00:00"/>
    <x v="3"/>
    <s v="6cd6f011-fd61-413b-b7f2-5d368bddcee3"/>
  </r>
  <r>
    <x v="309"/>
    <x v="18"/>
    <x v="7"/>
    <n v="46.8"/>
    <n v="156614.69"/>
    <n v="7329567.4919999996"/>
    <d v="2025-01-24T00:00:00"/>
    <x v="2"/>
    <s v="a757075b-d47f-43b1-bc69-c1551a37f6bd"/>
  </r>
  <r>
    <x v="310"/>
    <x v="14"/>
    <x v="3"/>
    <n v="46.8"/>
    <n v="124361.28"/>
    <n v="5820107.9039999992"/>
    <d v="2025-05-18T00:00:00"/>
    <x v="2"/>
    <s v="Unknown"/>
  </r>
  <r>
    <x v="311"/>
    <x v="13"/>
    <x v="1"/>
    <n v="46.8"/>
    <n v="82908.600000000006"/>
    <n v="3880122.48"/>
    <d v="2024-12-26T00:00:00"/>
    <x v="0"/>
    <s v="dff389aa-4c36-470c-bf5e-3b8cc0582da5"/>
  </r>
  <r>
    <x v="0"/>
    <x v="5"/>
    <x v="2"/>
    <n v="46.8"/>
    <n v="167237.07999999999"/>
    <n v="7826695.3439999986"/>
    <d v="2024-11-10T00:00:00"/>
    <x v="2"/>
    <s v="4347dbca-7321-48b2-8840-405affd2f491"/>
  </r>
  <r>
    <x v="312"/>
    <x v="18"/>
    <x v="7"/>
    <n v="46.8"/>
    <n v="177704.3"/>
    <n v="8316561.2399999993"/>
    <d v="2023-07-31T00:00:00"/>
    <x v="0"/>
    <s v="164484a0-d115-4fff-9cb9-1d5f593c572b"/>
  </r>
  <r>
    <x v="313"/>
    <x v="12"/>
    <x v="6"/>
    <n v="46.8"/>
    <n v="155703.70000000001"/>
    <n v="7286933.1600000001"/>
    <d v="2024-10-16T00:00:00"/>
    <x v="1"/>
    <s v="1e0d02b5-fe74-42cd-9d83-ad037066e289"/>
  </r>
  <r>
    <x v="314"/>
    <x v="11"/>
    <x v="4"/>
    <n v="46.8"/>
    <n v="220696.03"/>
    <n v="10328574.204"/>
    <d v="2024-07-13T00:00:00"/>
    <x v="2"/>
    <s v="35ba9357-3ca8-4f31-8fd7-f3b9c68fcba5"/>
  </r>
  <r>
    <x v="315"/>
    <x v="1"/>
    <x v="3"/>
    <n v="46.8"/>
    <n v="52952.39"/>
    <n v="2478171.852"/>
    <d v="2024-02-02T00:00:00"/>
    <x v="1"/>
    <s v="b06b0f0c-9682-4e22-bcd4-344fcf8a368e"/>
  </r>
  <r>
    <x v="316"/>
    <x v="5"/>
    <x v="4"/>
    <n v="46.8"/>
    <n v="203785.66"/>
    <n v="9537168.8880000003"/>
    <d v="2024-12-01T00:00:00"/>
    <x v="2"/>
    <s v="9c3a1e0b-b5f3-48aa-9c6d-afff59c2f153"/>
  </r>
  <r>
    <x v="317"/>
    <x v="18"/>
    <x v="0"/>
    <n v="18"/>
    <n v="166977.26999999999"/>
    <n v="3005590.86"/>
    <d v="2025-03-10T00:00:00"/>
    <x v="0"/>
    <s v="9dbc15c0-2a7d-457c-ad9c-5b50a1fd4187"/>
  </r>
  <r>
    <x v="318"/>
    <x v="0"/>
    <x v="4"/>
    <n v="46.8"/>
    <n v="14541.79"/>
    <n v="680555.772"/>
    <d v="2025-03-04T00:00:00"/>
    <x v="3"/>
    <s v="d0437e4c-34e5-4699-88eb-e27a23a4e70e"/>
  </r>
  <r>
    <x v="319"/>
    <x v="4"/>
    <x v="1"/>
    <n v="46.8"/>
    <n v="103652.24"/>
    <n v="4850924.8320000004"/>
    <d v="2024-10-02T00:00:00"/>
    <x v="2"/>
    <s v="91f0647d-0f32-4333-8e31-593734fa32b6"/>
  </r>
  <r>
    <x v="320"/>
    <x v="2"/>
    <x v="0"/>
    <n v="46.8"/>
    <n v="193173.16"/>
    <n v="9040503.8880000003"/>
    <d v="2024-10-01T00:00:00"/>
    <x v="4"/>
    <s v="98cbaa52-47f5-4019-8843-8de259cf0b0d"/>
  </r>
  <r>
    <x v="321"/>
    <x v="0"/>
    <x v="2"/>
    <n v="46.8"/>
    <n v="114655.81"/>
    <n v="5365891.9079999998"/>
    <d v="2024-01-03T00:00:00"/>
    <x v="3"/>
    <s v="fa9fc10e-52da-4681-ab1a-c76c89ecbc51"/>
  </r>
  <r>
    <x v="322"/>
    <x v="0"/>
    <x v="2"/>
    <n v="46.8"/>
    <n v="157576.69"/>
    <n v="7374589.0919999992"/>
    <d v="2025-01-21T00:00:00"/>
    <x v="0"/>
    <s v="929ecc92-4a11-4e44-8aea-1b8fb43cde0a"/>
  </r>
  <r>
    <x v="323"/>
    <x v="5"/>
    <x v="6"/>
    <n v="24"/>
    <n v="155703.70000000001"/>
    <n v="3736888.8000000003"/>
    <d v="2023-08-19T00:00:00"/>
    <x v="4"/>
    <s v="Unknown"/>
  </r>
  <r>
    <x v="0"/>
    <x v="4"/>
    <x v="0"/>
    <n v="46.8"/>
    <n v="209044.37"/>
    <n v="9783276.5159999989"/>
    <d v="2024-10-06T00:00:00"/>
    <x v="1"/>
    <s v="83b0b35c-dba6-4df8-b3d0-4ffb44709848"/>
  </r>
  <r>
    <x v="324"/>
    <x v="2"/>
    <x v="0"/>
    <n v="46.8"/>
    <n v="122773.62"/>
    <n v="5745805.4159999993"/>
    <d v="2024-07-18T00:00:00"/>
    <x v="0"/>
    <s v="d0afb235-ade6-4f51-a670-93a0fc48f615"/>
  </r>
  <r>
    <x v="325"/>
    <x v="18"/>
    <x v="3"/>
    <n v="46.8"/>
    <n v="90316.6"/>
    <n v="4226816.88"/>
    <d v="2023-11-20T00:00:00"/>
    <x v="3"/>
    <s v="c0062b5b-f678-49b2-a2b5-f4571860ad28"/>
  </r>
  <r>
    <x v="326"/>
    <x v="12"/>
    <x v="0"/>
    <n v="26"/>
    <n v="55571.75"/>
    <n v="1444865.5"/>
    <d v="2024-08-21T00:00:00"/>
    <x v="1"/>
    <s v="0f2d5c15-eb34-4d3a-a95e-5ea9c9230c64"/>
  </r>
  <r>
    <x v="327"/>
    <x v="10"/>
    <x v="1"/>
    <n v="26"/>
    <n v="161609.51999999999"/>
    <n v="4201847.5199999996"/>
    <d v="2024-11-10T00:00:00"/>
    <x v="1"/>
    <s v="a7e8d18e-ddf6-44ac-86fe-acd4fe1393cd"/>
  </r>
  <r>
    <x v="328"/>
    <x v="15"/>
    <x v="6"/>
    <n v="46.8"/>
    <n v="72669.97"/>
    <n v="3400954.5959999999"/>
    <d v="2025-01-21T00:00:00"/>
    <x v="0"/>
    <s v="21f8072d-ddb7-470e-b390-b059207bbe21"/>
  </r>
  <r>
    <x v="329"/>
    <x v="10"/>
    <x v="3"/>
    <n v="46.8"/>
    <n v="67990.69"/>
    <n v="3181964.2919999999"/>
    <d v="2024-11-03T00:00:00"/>
    <x v="3"/>
    <s v="5274ee11-b61d-4906-a570-35db3fead90a"/>
  </r>
  <r>
    <x v="330"/>
    <x v="2"/>
    <x v="1"/>
    <n v="46.8"/>
    <n v="257333.6"/>
    <n v="12043212.48"/>
    <d v="2025-03-03T00:00:00"/>
    <x v="0"/>
    <s v="d7f34368-c2ef-4ecb-bf5f-bf4fd4176230"/>
  </r>
  <r>
    <x v="331"/>
    <x v="11"/>
    <x v="4"/>
    <n v="33"/>
    <n v="43733.35"/>
    <n v="1443200.55"/>
    <d v="2025-04-24T00:00:00"/>
    <x v="4"/>
    <s v="24655c39-7d4d-4add-a488-0945ad1db537"/>
  </r>
  <r>
    <x v="332"/>
    <x v="19"/>
    <x v="2"/>
    <n v="46.8"/>
    <n v="155703.70000000001"/>
    <n v="7286933.1600000001"/>
    <d v="2024-05-01T00:00:00"/>
    <x v="4"/>
    <s v="a0b85755-44ca-45a2-a1e5-18a293d228d4"/>
  </r>
  <r>
    <x v="333"/>
    <x v="2"/>
    <x v="6"/>
    <n v="46.8"/>
    <n v="139176.04"/>
    <n v="6513438.6720000003"/>
    <d v="2023-11-02T00:00:00"/>
    <x v="2"/>
    <s v="135508d0-73b5-4ad5-a00b-4b356a0aa7d5"/>
  </r>
  <r>
    <x v="334"/>
    <x v="9"/>
    <x v="5"/>
    <n v="46"/>
    <n v="17758.37"/>
    <n v="816885.02"/>
    <d v="2025-04-09T00:00:00"/>
    <x v="1"/>
    <s v="c4d598f7-e14f-4093-8b6a-d0c7a2356dd4"/>
  </r>
  <r>
    <x v="335"/>
    <x v="6"/>
    <x v="2"/>
    <n v="46.8"/>
    <n v="124096.91"/>
    <n v="5807735.3880000003"/>
    <d v="2024-12-20T00:00:00"/>
    <x v="2"/>
    <s v="bff30c8d-83ff-4e96-a721-3a7017d50f59"/>
  </r>
  <r>
    <x v="0"/>
    <x v="8"/>
    <x v="7"/>
    <n v="35"/>
    <n v="125244.11"/>
    <n v="4383543.8499999996"/>
    <d v="2024-01-15T00:00:00"/>
    <x v="3"/>
    <s v="Unknown"/>
  </r>
  <r>
    <x v="336"/>
    <x v="2"/>
    <x v="2"/>
    <n v="46.8"/>
    <n v="159232.54999999999"/>
    <n v="7452083.3399999989"/>
    <d v="2023-08-04T00:00:00"/>
    <x v="4"/>
    <s v="e097dedb-efb3-4939-b1d8-18874739cc7b"/>
  </r>
  <r>
    <x v="337"/>
    <x v="9"/>
    <x v="2"/>
    <n v="46.8"/>
    <n v="116831.51"/>
    <n v="5467714.6679999996"/>
    <d v="2024-09-27T00:00:00"/>
    <x v="2"/>
    <s v="7cf07bb3-f343-49eb-b466-ef025e7b72c8"/>
  </r>
  <r>
    <x v="338"/>
    <x v="1"/>
    <x v="0"/>
    <n v="46.8"/>
    <n v="76871.199999999997"/>
    <n v="3597572.1599999997"/>
    <d v="2025-01-05T00:00:00"/>
    <x v="4"/>
    <s v="de70bd30-00a2-4367-94fb-09f053c93ae7"/>
  </r>
  <r>
    <x v="339"/>
    <x v="15"/>
    <x v="1"/>
    <n v="44"/>
    <n v="99413.77"/>
    <n v="4374205.88"/>
    <d v="2023-10-04T00:00:00"/>
    <x v="4"/>
    <s v="17d821b8-bb93-4d40-98df-f535c62dbaea"/>
  </r>
  <r>
    <x v="340"/>
    <x v="4"/>
    <x v="0"/>
    <n v="46.8"/>
    <n v="24181.59"/>
    <n v="1131698.412"/>
    <d v="2023-12-06T00:00:00"/>
    <x v="4"/>
    <s v="a284e8fd-755c-4e2a-b8de-d777bb1e5ae8"/>
  </r>
  <r>
    <x v="341"/>
    <x v="2"/>
    <x v="0"/>
    <n v="46.8"/>
    <n v="155703.70000000001"/>
    <n v="7286933.1600000001"/>
    <d v="2023-07-25T00:00:00"/>
    <x v="0"/>
    <s v="d9a09007-5bb4-4c18-b281-87c4aa055442"/>
  </r>
  <r>
    <x v="342"/>
    <x v="14"/>
    <x v="5"/>
    <n v="46.8"/>
    <n v="135211.15"/>
    <n v="6327881.8199999994"/>
    <d v="2024-06-17T00:00:00"/>
    <x v="2"/>
    <s v="65d0b517-88d0-4abd-8bb1-8c791036708d"/>
  </r>
  <r>
    <x v="343"/>
    <x v="13"/>
    <x v="5"/>
    <n v="46.8"/>
    <n v="111637.71"/>
    <n v="5224644.8279999997"/>
    <d v="2024-03-10T00:00:00"/>
    <x v="1"/>
    <s v="d3293724-6dfd-471a-b7d7-465d37c3b3c9"/>
  </r>
  <r>
    <x v="344"/>
    <x v="5"/>
    <x v="6"/>
    <n v="55"/>
    <n v="160922.84"/>
    <n v="8850756.1999999993"/>
    <d v="2024-05-31T00:00:00"/>
    <x v="2"/>
    <s v="52a74a41-44be-4486-bea5-a387363be5cb"/>
  </r>
  <r>
    <x v="345"/>
    <x v="8"/>
    <x v="0"/>
    <n v="46.8"/>
    <n v="248907.18"/>
    <n v="11648856.023999998"/>
    <d v="2023-11-05T00:00:00"/>
    <x v="1"/>
    <s v="8c1c8b05-5677-4f36-8899-8e5fd40e53ce"/>
  </r>
  <r>
    <x v="346"/>
    <x v="5"/>
    <x v="5"/>
    <n v="46.8"/>
    <n v="15935.22"/>
    <n v="745768.29599999997"/>
    <d v="2024-05-26T00:00:00"/>
    <x v="2"/>
    <s v="da385db5-90ee-4067-a16e-9fe593f37596"/>
  </r>
  <r>
    <x v="347"/>
    <x v="1"/>
    <x v="3"/>
    <n v="46.8"/>
    <n v="113461.81"/>
    <n v="5310012.7079999996"/>
    <d v="2024-12-28T00:00:00"/>
    <x v="2"/>
    <s v="e4e751de-57ff-41d9-89ce-44bd7c3f1add"/>
  </r>
  <r>
    <x v="0"/>
    <x v="0"/>
    <x v="3"/>
    <n v="14"/>
    <n v="181688.35"/>
    <n v="2543636.9"/>
    <d v="2023-12-16T00:00:00"/>
    <x v="4"/>
    <s v="0bc2ea72-0c64-4ca2-8323-1466aebbb90e"/>
  </r>
  <r>
    <x v="348"/>
    <x v="6"/>
    <x v="6"/>
    <n v="46.8"/>
    <n v="12344.49"/>
    <n v="577722.13199999998"/>
    <d v="2024-05-24T00:00:00"/>
    <x v="1"/>
    <s v="Unknown"/>
  </r>
  <r>
    <x v="349"/>
    <x v="4"/>
    <x v="3"/>
    <n v="46.8"/>
    <n v="22298.91"/>
    <n v="1043588.9879999999"/>
    <d v="2024-08-03T00:00:00"/>
    <x v="1"/>
    <s v="d6321d31-c8ac-4fcf-a04d-4d14197dbae1"/>
  </r>
  <r>
    <x v="350"/>
    <x v="5"/>
    <x v="6"/>
    <n v="46.8"/>
    <n v="155703.70000000001"/>
    <n v="7286933.1600000001"/>
    <d v="2025-03-03T00:00:00"/>
    <x v="1"/>
    <s v="edef5003-1fce-41e3-842b-03ca75a72686"/>
  </r>
  <r>
    <x v="351"/>
    <x v="9"/>
    <x v="7"/>
    <n v="46.8"/>
    <n v="241492.86"/>
    <n v="11301865.847999999"/>
    <d v="2024-10-27T00:00:00"/>
    <x v="2"/>
    <s v="74de5f70-70f8-4dba-a871-9b9bdb8f0e32"/>
  </r>
  <r>
    <x v="352"/>
    <x v="17"/>
    <x v="5"/>
    <n v="46.8"/>
    <n v="176481.31"/>
    <n v="8259325.3079999993"/>
    <d v="2025-06-24T00:00:00"/>
    <x v="1"/>
    <s v="6d84414d-f541-41ea-bde9-1c42002c4c22"/>
  </r>
  <r>
    <x v="353"/>
    <x v="7"/>
    <x v="0"/>
    <n v="46.8"/>
    <n v="201599.43"/>
    <n v="9434853.3239999991"/>
    <d v="2024-07-11T00:00:00"/>
    <x v="2"/>
    <s v="e8cee951-b047-4ea4-bee5-ce6933cb202e"/>
  </r>
  <r>
    <x v="354"/>
    <x v="5"/>
    <x v="6"/>
    <n v="58"/>
    <n v="65496.45"/>
    <n v="3798794.1"/>
    <d v="2025-05-18T00:00:00"/>
    <x v="0"/>
    <s v="4d470ed6-a666-4769-a1d4-6f8221c50e41"/>
  </r>
  <r>
    <x v="355"/>
    <x v="4"/>
    <x v="6"/>
    <n v="46.8"/>
    <n v="63062.28"/>
    <n v="2951314.7039999999"/>
    <d v="2025-04-29T00:00:00"/>
    <x v="4"/>
    <s v="e0688849-eec7-4a30-9fda-35b228b2bf21"/>
  </r>
  <r>
    <x v="356"/>
    <x v="8"/>
    <x v="1"/>
    <n v="46.8"/>
    <n v="272156.33"/>
    <n v="12736916.244000001"/>
    <d v="2025-02-01T00:00:00"/>
    <x v="3"/>
    <s v="5c457e4d-a793-43b8-97e5-2113462623be"/>
  </r>
  <r>
    <x v="357"/>
    <x v="4"/>
    <x v="0"/>
    <n v="46.8"/>
    <n v="91304.81"/>
    <n v="4273065.108"/>
    <d v="2025-01-25T00:00:00"/>
    <x v="0"/>
    <s v="aa1d3fc6-5f31-473d-9519-830c40198303"/>
  </r>
  <r>
    <x v="358"/>
    <x v="9"/>
    <x v="7"/>
    <n v="8"/>
    <n v="272743.75"/>
    <n v="2181950"/>
    <d v="2023-08-28T00:00:00"/>
    <x v="1"/>
    <s v="0d41ee47-2a5f-4a18-a61f-0b96e75f745a"/>
  </r>
  <r>
    <x v="359"/>
    <x v="18"/>
    <x v="1"/>
    <n v="46.8"/>
    <n v="63936.43"/>
    <n v="2992224.9239999996"/>
    <d v="2025-01-09T00:00:00"/>
    <x v="4"/>
    <s v="b9da5f8c-4e35-4a80-a027-9a186576a410"/>
  </r>
  <r>
    <x v="0"/>
    <x v="17"/>
    <x v="5"/>
    <n v="46.8"/>
    <n v="155703.70000000001"/>
    <n v="7286933.1600000001"/>
    <d v="2023-10-26T00:00:00"/>
    <x v="4"/>
    <s v="6de21429-3bf0-49c1-8156-e501b30e96e8"/>
  </r>
  <r>
    <x v="360"/>
    <x v="9"/>
    <x v="4"/>
    <n v="46.8"/>
    <n v="57412.1"/>
    <n v="2686886.28"/>
    <d v="2024-08-16T00:00:00"/>
    <x v="4"/>
    <s v="185df528-b425-4e19-9758-d47ea7cde143"/>
  </r>
  <r>
    <x v="361"/>
    <x v="17"/>
    <x v="0"/>
    <n v="87"/>
    <n v="222571.82"/>
    <n v="19363748.34"/>
    <d v="2023-12-19T00:00:00"/>
    <x v="4"/>
    <s v="Unknown"/>
  </r>
  <r>
    <x v="362"/>
    <x v="10"/>
    <x v="4"/>
    <n v="4"/>
    <n v="224190.33"/>
    <n v="896761.32"/>
    <d v="2024-09-18T00:00:00"/>
    <x v="1"/>
    <s v="13f3cade-7a10-413f-b6a2-c52b00473139"/>
  </r>
  <r>
    <x v="363"/>
    <x v="3"/>
    <x v="0"/>
    <n v="46.8"/>
    <n v="226422.06"/>
    <n v="10596552.408"/>
    <d v="2024-03-19T00:00:00"/>
    <x v="4"/>
    <s v="84fa4c72-39e7-44f1-97fb-613a21f89d06"/>
  </r>
  <r>
    <x v="364"/>
    <x v="0"/>
    <x v="7"/>
    <n v="57"/>
    <n v="274375.17"/>
    <n v="15639384.689999999"/>
    <d v="2024-12-06T00:00:00"/>
    <x v="3"/>
    <s v="02106371-0260-4123-b1ef-e72aae13591e"/>
  </r>
  <r>
    <x v="365"/>
    <x v="17"/>
    <x v="1"/>
    <n v="17"/>
    <n v="208840.07"/>
    <n v="3550281.19"/>
    <d v="2024-07-16T00:00:00"/>
    <x v="3"/>
    <s v="1edf3bfa-d12e-4eb5-97f4-79b5b212a6ee"/>
  </r>
  <r>
    <x v="366"/>
    <x v="5"/>
    <x v="6"/>
    <n v="46.8"/>
    <n v="211278.69"/>
    <n v="9887842.6919999998"/>
    <d v="2024-08-22T00:00:00"/>
    <x v="4"/>
    <s v="b1ac040d-6c1c-4405-9c3f-42e0fcf7b842"/>
  </r>
  <r>
    <x v="367"/>
    <x v="8"/>
    <x v="1"/>
    <n v="46.8"/>
    <n v="119291.3"/>
    <n v="5582832.8399999999"/>
    <d v="2024-04-28T00:00:00"/>
    <x v="2"/>
    <s v="3a9c4308-1221-4ddf-ba4a-902f21d63b0f"/>
  </r>
  <r>
    <x v="368"/>
    <x v="12"/>
    <x v="4"/>
    <n v="46.8"/>
    <n v="72179.62"/>
    <n v="3378006.2159999995"/>
    <d v="2024-03-10T00:00:00"/>
    <x v="1"/>
    <s v="ce532ffd-bb13-4f02-96de-66c96210def6"/>
  </r>
  <r>
    <x v="369"/>
    <x v="4"/>
    <x v="0"/>
    <n v="46.8"/>
    <n v="155703.70000000001"/>
    <n v="7286933.1600000001"/>
    <d v="2023-11-22T00:00:00"/>
    <x v="3"/>
    <s v="5e1885c3-5037-4d6b-9a6b-6a7d1a38aad6"/>
  </r>
  <r>
    <x v="370"/>
    <x v="3"/>
    <x v="2"/>
    <n v="46.8"/>
    <n v="96823.7"/>
    <n v="4531349.1599999992"/>
    <d v="2024-07-02T00:00:00"/>
    <x v="3"/>
    <s v="61fa01ba-231a-47c7-8c9b-ff5ce1887eaf"/>
  </r>
  <r>
    <x v="371"/>
    <x v="14"/>
    <x v="5"/>
    <n v="46.8"/>
    <n v="85276.23"/>
    <n v="3990927.5639999998"/>
    <d v="2025-06-18T00:00:00"/>
    <x v="3"/>
    <s v="dfdf0e05-c0ce-431b-9038-e153c601818b"/>
  </r>
  <r>
    <x v="0"/>
    <x v="14"/>
    <x v="6"/>
    <n v="46.8"/>
    <n v="140142.01"/>
    <n v="6558646.068"/>
    <d v="2024-08-28T00:00:00"/>
    <x v="0"/>
    <s v="ad58db1b-fe31-437a-a43e-558c2215df00"/>
  </r>
  <r>
    <x v="372"/>
    <x v="8"/>
    <x v="4"/>
    <n v="98"/>
    <n v="194792.04"/>
    <n v="19089619.920000002"/>
    <d v="2024-04-01T00:00:00"/>
    <x v="0"/>
    <s v="9033da65-87cf-43fd-9183-6c4f249204c7"/>
  </r>
  <r>
    <x v="373"/>
    <x v="1"/>
    <x v="5"/>
    <n v="74"/>
    <n v="92872.47"/>
    <n v="6872562.7800000003"/>
    <d v="2024-09-07T00:00:00"/>
    <x v="3"/>
    <s v="2a038ad4-a667-4982-9c3d-e1b0022b6683"/>
  </r>
  <r>
    <x v="374"/>
    <x v="14"/>
    <x v="6"/>
    <n v="46.8"/>
    <n v="108213.56"/>
    <n v="5064394.608"/>
    <d v="2024-04-11T00:00:00"/>
    <x v="2"/>
    <s v="Unknown"/>
  </r>
  <r>
    <x v="375"/>
    <x v="15"/>
    <x v="5"/>
    <n v="46.8"/>
    <n v="264902.18"/>
    <n v="12397422.023999998"/>
    <d v="2024-12-16T00:00:00"/>
    <x v="1"/>
    <s v="368acd40-b8f1-4e3c-99e7-703a70aa5b0d"/>
  </r>
  <r>
    <x v="376"/>
    <x v="8"/>
    <x v="0"/>
    <n v="46.8"/>
    <n v="140068.22"/>
    <n v="6555192.6959999995"/>
    <d v="2025-03-01T00:00:00"/>
    <x v="1"/>
    <s v="eb7e2e64-26c0-447e-bf8e-8bfaa0c9da72"/>
  </r>
  <r>
    <x v="377"/>
    <x v="3"/>
    <x v="7"/>
    <n v="32"/>
    <n v="240943.58"/>
    <n v="7710194.5599999996"/>
    <d v="2025-05-14T00:00:00"/>
    <x v="3"/>
    <s v="714011a1-afc2-4cfc-9db7-284b6965d1d1"/>
  </r>
  <r>
    <x v="378"/>
    <x v="2"/>
    <x v="4"/>
    <n v="46.8"/>
    <n v="155703.70000000001"/>
    <n v="7286933.1600000001"/>
    <d v="2025-01-20T00:00:00"/>
    <x v="3"/>
    <s v="e5871d89-1631-4fc6-b79d-58f9dc268108"/>
  </r>
  <r>
    <x v="379"/>
    <x v="14"/>
    <x v="3"/>
    <n v="46.8"/>
    <n v="216862.87"/>
    <n v="10149182.316"/>
    <d v="2024-12-20T00:00:00"/>
    <x v="1"/>
    <s v="1f873b46-c0a0-473a-a3d7-e6a119b814fc"/>
  </r>
  <r>
    <x v="380"/>
    <x v="0"/>
    <x v="2"/>
    <n v="46.8"/>
    <n v="228607.88"/>
    <n v="10698848.784"/>
    <d v="2024-11-21T00:00:00"/>
    <x v="2"/>
    <s v="59fe3d53-624f-4a4b-bae1-e13796ee50e5"/>
  </r>
  <r>
    <x v="381"/>
    <x v="16"/>
    <x v="3"/>
    <n v="72"/>
    <n v="96409.87"/>
    <n v="6941510.6399999997"/>
    <d v="2025-03-26T00:00:00"/>
    <x v="0"/>
    <s v="ca840003-5083-4fef-adec-6bbdf69777a1"/>
  </r>
  <r>
    <x v="382"/>
    <x v="9"/>
    <x v="4"/>
    <n v="46.8"/>
    <n v="61336.68"/>
    <n v="2870556.6239999998"/>
    <d v="2024-12-30T00:00:00"/>
    <x v="0"/>
    <s v="a505da9c-46e7-4a2c-bf6e-ed9d23cbe943"/>
  </r>
  <r>
    <x v="383"/>
    <x v="19"/>
    <x v="6"/>
    <n v="46.8"/>
    <n v="94220.14"/>
    <n v="4409502.5520000001"/>
    <d v="2024-02-01T00:00:00"/>
    <x v="3"/>
    <s v="99db1302-8dab-46d3-bf87-dfc2159152f2"/>
  </r>
  <r>
    <x v="0"/>
    <x v="3"/>
    <x v="4"/>
    <n v="46.8"/>
    <n v="14191.78"/>
    <n v="664175.304"/>
    <d v="2024-10-26T00:00:00"/>
    <x v="1"/>
    <s v="48f091f0-9b8b-48ae-b89f-3a92999a1d86"/>
  </r>
  <r>
    <x v="384"/>
    <x v="10"/>
    <x v="4"/>
    <n v="46.8"/>
    <n v="259293.41"/>
    <n v="12134931.588"/>
    <d v="2024-07-21T00:00:00"/>
    <x v="0"/>
    <s v="06ddf6ca-b0c3-4a59-b0f7-ad22c76a8e0f"/>
  </r>
  <r>
    <x v="385"/>
    <x v="13"/>
    <x v="0"/>
    <n v="63"/>
    <n v="222505.09"/>
    <n v="14017820.67"/>
    <d v="2023-12-07T00:00:00"/>
    <x v="2"/>
    <s v="e03635fc-a88d-4108-98d9-94b8d90f74e9"/>
  </r>
  <r>
    <x v="386"/>
    <x v="17"/>
    <x v="1"/>
    <n v="16"/>
    <n v="5357.86"/>
    <n v="85725.759999999995"/>
    <d v="2024-01-18T00:00:00"/>
    <x v="3"/>
    <s v="9b5f8f39-848b-44f0-b498-17354d38e415"/>
  </r>
  <r>
    <x v="387"/>
    <x v="18"/>
    <x v="2"/>
    <n v="46.8"/>
    <n v="155703.70000000001"/>
    <n v="7286933.1600000001"/>
    <d v="2024-02-12T00:00:00"/>
    <x v="4"/>
    <s v="Unknown"/>
  </r>
  <r>
    <x v="388"/>
    <x v="3"/>
    <x v="7"/>
    <n v="46.8"/>
    <n v="166216.81"/>
    <n v="7778946.7079999996"/>
    <d v="2024-09-16T00:00:00"/>
    <x v="3"/>
    <s v="6449cb6f-bf72-4e52-b04b-237082701238"/>
  </r>
  <r>
    <x v="389"/>
    <x v="3"/>
    <x v="7"/>
    <n v="57"/>
    <n v="175417.55"/>
    <n v="9998800.3499999996"/>
    <d v="2024-02-27T00:00:00"/>
    <x v="4"/>
    <s v="c8a738ab-0df8-4e12-a56b-61e04ba8a4ca"/>
  </r>
  <r>
    <x v="390"/>
    <x v="1"/>
    <x v="5"/>
    <n v="46.8"/>
    <n v="216143.58"/>
    <n v="10115519.543999998"/>
    <d v="2024-01-01T00:00:00"/>
    <x v="3"/>
    <s v="3d4574eb-f465-4a21-8b35-097ae5dd98f1"/>
  </r>
  <r>
    <x v="391"/>
    <x v="10"/>
    <x v="7"/>
    <n v="46.8"/>
    <n v="88910.09"/>
    <n v="4160992.2119999994"/>
    <d v="2024-02-27T00:00:00"/>
    <x v="1"/>
    <s v="3db788a6-1cdc-44c2-a2c9-65b27eb0f62a"/>
  </r>
  <r>
    <x v="392"/>
    <x v="16"/>
    <x v="2"/>
    <n v="91"/>
    <n v="59259.44"/>
    <n v="5392609.04"/>
    <d v="2025-02-28T00:00:00"/>
    <x v="1"/>
    <s v="122dd7be-980b-481e-a359-5d1f7fe4a42e"/>
  </r>
  <r>
    <x v="393"/>
    <x v="15"/>
    <x v="5"/>
    <n v="46.8"/>
    <n v="69390.58"/>
    <n v="3247479.1439999999"/>
    <d v="2024-02-20T00:00:00"/>
    <x v="1"/>
    <s v="0316d2d6-fa4a-48ef-a383-7348873dc8bd"/>
  </r>
  <r>
    <x v="394"/>
    <x v="2"/>
    <x v="5"/>
    <n v="46.8"/>
    <n v="171151.96"/>
    <n v="8009911.7279999992"/>
    <d v="2025-01-08T00:00:00"/>
    <x v="1"/>
    <s v="51045a16-ef15-4b72-9c70-ee97fca45567"/>
  </r>
  <r>
    <x v="395"/>
    <x v="6"/>
    <x v="6"/>
    <n v="46.8"/>
    <n v="74096.14"/>
    <n v="3467699.352"/>
    <d v="2023-12-18T00:00:00"/>
    <x v="2"/>
    <s v="d6c6f45c-dc5e-4e78-a307-d4d121c9a15d"/>
  </r>
  <r>
    <x v="0"/>
    <x v="2"/>
    <x v="1"/>
    <n v="46.8"/>
    <n v="165417.44"/>
    <n v="7741536.1919999998"/>
    <d v="2024-12-28T00:00:00"/>
    <x v="2"/>
    <s v="8bde005b-5d8b-4bd7-abbd-b66f91816091"/>
  </r>
  <r>
    <x v="396"/>
    <x v="17"/>
    <x v="3"/>
    <n v="82"/>
    <n v="155703.70000000001"/>
    <n v="12767703.4"/>
    <d v="2025-01-08T00:00:00"/>
    <x v="4"/>
    <s v="78946a15-c342-41db-ac3a-acdcaed54a46"/>
  </r>
  <r>
    <x v="397"/>
    <x v="11"/>
    <x v="6"/>
    <n v="46.8"/>
    <n v="283067.63"/>
    <n v="13247565.083999999"/>
    <d v="2024-07-24T00:00:00"/>
    <x v="2"/>
    <s v="12af97e4-c536-466e-bcc4-091bf45707c6"/>
  </r>
  <r>
    <x v="398"/>
    <x v="16"/>
    <x v="1"/>
    <n v="29"/>
    <n v="101600.5"/>
    <n v="2946414.5"/>
    <d v="2024-03-13T00:00:00"/>
    <x v="3"/>
    <s v="0387f74d-1149-4096-965d-744f0445c1a8"/>
  </r>
  <r>
    <x v="399"/>
    <x v="5"/>
    <x v="1"/>
    <n v="26"/>
    <n v="229126.51"/>
    <n v="5957289.2599999998"/>
    <d v="2024-07-17T00:00:00"/>
    <x v="1"/>
    <s v="ec2e2815-0a32-47d2-b73a-edf8431e930f"/>
  </r>
  <r>
    <x v="400"/>
    <x v="15"/>
    <x v="1"/>
    <n v="46.8"/>
    <n v="146842.01999999999"/>
    <n v="6872206.5359999994"/>
    <d v="2024-04-06T00:00:00"/>
    <x v="0"/>
    <s v="Unknown"/>
  </r>
  <r>
    <x v="401"/>
    <x v="1"/>
    <x v="4"/>
    <n v="46.8"/>
    <n v="217205.6"/>
    <n v="10165222.08"/>
    <d v="2024-09-18T00:00:00"/>
    <x v="0"/>
    <s v="65e1b0f5-ca0e-48c4-b2dc-b12b0f7ae302"/>
  </r>
  <r>
    <x v="402"/>
    <x v="0"/>
    <x v="6"/>
    <n v="46.8"/>
    <n v="222008.43"/>
    <n v="10389994.523999998"/>
    <d v="2025-07-05T00:00:00"/>
    <x v="0"/>
    <s v="b66edbf4-a0ea-4251-8957-43a281b13b80"/>
  </r>
  <r>
    <x v="403"/>
    <x v="2"/>
    <x v="3"/>
    <n v="46.8"/>
    <n v="138518.29"/>
    <n v="6482655.9720000001"/>
    <d v="2025-07-05T00:00:00"/>
    <x v="3"/>
    <s v="6c6f6d2e-6a59-4043-8461-52348044beb2"/>
  </r>
  <r>
    <x v="404"/>
    <x v="14"/>
    <x v="0"/>
    <n v="71"/>
    <n v="219965.28"/>
    <n v="15617534.880000001"/>
    <d v="2025-03-19T00:00:00"/>
    <x v="0"/>
    <s v="a3fa4069-1519-4d38-a6fb-a71db3a9dcaa"/>
  </r>
  <r>
    <x v="405"/>
    <x v="7"/>
    <x v="1"/>
    <n v="79"/>
    <n v="105976.76"/>
    <n v="8372164.04"/>
    <d v="2025-01-21T00:00:00"/>
    <x v="0"/>
    <s v="271610c1-9db5-4283-89a3-c811895c4fde"/>
  </r>
  <r>
    <x v="406"/>
    <x v="2"/>
    <x v="3"/>
    <n v="46.8"/>
    <n v="155703.70000000001"/>
    <n v="7286933.1600000001"/>
    <d v="2024-02-08T00:00:00"/>
    <x v="4"/>
    <s v="143ac1c5-4f56-4ed5-9566-9e364708203b"/>
  </r>
  <r>
    <x v="407"/>
    <x v="9"/>
    <x v="0"/>
    <n v="46.8"/>
    <n v="42417.58"/>
    <n v="1985142.7439999999"/>
    <d v="2024-02-19T00:00:00"/>
    <x v="3"/>
    <s v="f96c9a0a-3404-402a-abc1-bb5282e4dd4a"/>
  </r>
  <r>
    <x v="0"/>
    <x v="0"/>
    <x v="2"/>
    <n v="46.8"/>
    <n v="164190.63"/>
    <n v="7684121.4840000002"/>
    <d v="2023-10-13T00:00:00"/>
    <x v="3"/>
    <s v="53a5e850-8950-4dd6-a7c6-cbb1cedd069d"/>
  </r>
  <r>
    <x v="408"/>
    <x v="12"/>
    <x v="0"/>
    <n v="46.8"/>
    <n v="55622.31"/>
    <n v="2603124.1079999995"/>
    <d v="2024-09-28T00:00:00"/>
    <x v="0"/>
    <s v="c362a810-a261-4b8d-9620-bee66406face"/>
  </r>
  <r>
    <x v="409"/>
    <x v="8"/>
    <x v="2"/>
    <n v="46.8"/>
    <n v="266864.68"/>
    <n v="12489267.023999998"/>
    <d v="2024-12-17T00:00:00"/>
    <x v="3"/>
    <s v="a4a5c736-ae59-4a52-a65b-e22bd5a386d9"/>
  </r>
  <r>
    <x v="410"/>
    <x v="17"/>
    <x v="7"/>
    <n v="74"/>
    <n v="297101.90000000002"/>
    <n v="21985540.600000001"/>
    <d v="2024-09-04T00:00:00"/>
    <x v="4"/>
    <s v="6fff15cc-b2dc-4c34-8f67-448e10eceb1f"/>
  </r>
  <r>
    <x v="411"/>
    <x v="15"/>
    <x v="0"/>
    <n v="46.8"/>
    <n v="287192.45"/>
    <n v="13440606.66"/>
    <d v="2024-04-30T00:00:00"/>
    <x v="4"/>
    <s v="3d175712-d8b2-4277-b413-db19bade8d5d"/>
  </r>
  <r>
    <x v="412"/>
    <x v="8"/>
    <x v="2"/>
    <n v="83"/>
    <n v="157421.35"/>
    <n v="13065972.050000001"/>
    <d v="2025-06-05T00:00:00"/>
    <x v="1"/>
    <s v="ecb4678c-1612-4aa6-be96-39ba0ed2ec9d"/>
  </r>
  <r>
    <x v="413"/>
    <x v="12"/>
    <x v="1"/>
    <n v="46.8"/>
    <n v="251801.01"/>
    <n v="11784287.267999999"/>
    <d v="2024-05-12T00:00:00"/>
    <x v="4"/>
    <s v="Unknown"/>
  </r>
  <r>
    <x v="414"/>
    <x v="11"/>
    <x v="4"/>
    <n v="46.8"/>
    <n v="22761.96"/>
    <n v="1065259.7279999999"/>
    <d v="2025-04-06T00:00:00"/>
    <x v="1"/>
    <s v="9cbf7b8c-7410-4d5d-9db1-4bfc6f3a5115"/>
  </r>
  <r>
    <x v="415"/>
    <x v="0"/>
    <x v="0"/>
    <n v="45"/>
    <n v="155703.70000000001"/>
    <n v="7006666.5000000009"/>
    <d v="2024-04-04T00:00:00"/>
    <x v="0"/>
    <s v="aa8430f8-4f2d-4233-8e16-5b129bdc70d1"/>
  </r>
  <r>
    <x v="416"/>
    <x v="16"/>
    <x v="5"/>
    <n v="46.8"/>
    <n v="245489.78"/>
    <n v="11488921.704"/>
    <d v="2025-03-02T00:00:00"/>
    <x v="1"/>
    <s v="2cf72140-bd9b-4648-a876-1e85bddfa03a"/>
  </r>
  <r>
    <x v="417"/>
    <x v="7"/>
    <x v="2"/>
    <n v="46.8"/>
    <n v="15030.06"/>
    <n v="703406.80799999996"/>
    <d v="2025-03-26T00:00:00"/>
    <x v="1"/>
    <s v="23204ff5-b538-496c-833e-02f71e93d127"/>
  </r>
  <r>
    <x v="418"/>
    <x v="10"/>
    <x v="6"/>
    <n v="24"/>
    <n v="2411.96"/>
    <n v="57887.040000000001"/>
    <d v="2023-11-01T00:00:00"/>
    <x v="0"/>
    <s v="7f14eafa-29f0-4f7c-82e7-df89b3957a98"/>
  </r>
  <r>
    <x v="419"/>
    <x v="2"/>
    <x v="2"/>
    <n v="46.8"/>
    <n v="41678.71"/>
    <n v="1950563.6279999998"/>
    <d v="2024-02-21T00:00:00"/>
    <x v="1"/>
    <s v="8468b74d-85e3-4de5-98c1-aad6f3f8dea4"/>
  </r>
  <r>
    <x v="0"/>
    <x v="9"/>
    <x v="0"/>
    <n v="8"/>
    <n v="189395.14"/>
    <n v="1515161.12"/>
    <d v="2023-08-12T00:00:00"/>
    <x v="4"/>
    <s v="425e0259-b884-46d2-928f-cf68c871d7b3"/>
  </r>
  <r>
    <x v="420"/>
    <x v="8"/>
    <x v="2"/>
    <n v="67"/>
    <n v="20856.400000000001"/>
    <n v="1397378.8"/>
    <d v="2024-02-19T00:00:00"/>
    <x v="0"/>
    <s v="bff15840-207e-463f-9f32-d5d82abe1585"/>
  </r>
  <r>
    <x v="421"/>
    <x v="1"/>
    <x v="3"/>
    <n v="39"/>
    <n v="45733.38"/>
    <n v="1783601.82"/>
    <d v="2025-01-15T00:00:00"/>
    <x v="3"/>
    <s v="bba1aed9-44cd-4fdd-9f9b-141ec7f7bda1"/>
  </r>
  <r>
    <x v="422"/>
    <x v="11"/>
    <x v="6"/>
    <n v="46.8"/>
    <n v="66006.539999999994"/>
    <n v="3089106.0719999997"/>
    <d v="2023-09-10T00:00:00"/>
    <x v="1"/>
    <s v="e65fad87-c57c-4498-9e38-f711e2ec13f4"/>
  </r>
  <r>
    <x v="423"/>
    <x v="5"/>
    <x v="0"/>
    <n v="91"/>
    <n v="137074.89000000001"/>
    <n v="12473814.99"/>
    <d v="2024-04-05T00:00:00"/>
    <x v="4"/>
    <s v="6de8370a-ce9e-4ebd-95c3-48530783e43c"/>
  </r>
  <r>
    <x v="424"/>
    <x v="10"/>
    <x v="4"/>
    <n v="46.8"/>
    <n v="155703.70000000001"/>
    <n v="7286933.1600000001"/>
    <d v="2025-06-27T00:00:00"/>
    <x v="3"/>
    <s v="4350ab06-1059-4a28-861b-4f5b45a08539"/>
  </r>
  <r>
    <x v="425"/>
    <x v="17"/>
    <x v="3"/>
    <n v="37"/>
    <n v="18604.810000000001"/>
    <n v="688377.97"/>
    <d v="2024-06-18T00:00:00"/>
    <x v="0"/>
    <s v="a0a5fde6-939f-41a2-b99c-ea5cb65ad0f1"/>
  </r>
  <r>
    <x v="426"/>
    <x v="8"/>
    <x v="6"/>
    <n v="33"/>
    <n v="191499.71"/>
    <n v="6319490.4299999997"/>
    <d v="2024-12-01T00:00:00"/>
    <x v="0"/>
    <s v="Unknown"/>
  </r>
  <r>
    <x v="427"/>
    <x v="6"/>
    <x v="5"/>
    <n v="46.8"/>
    <n v="280204.15999999997"/>
    <n v="13113554.687999997"/>
    <d v="2024-01-26T00:00:00"/>
    <x v="0"/>
    <s v="82c299f0-7487-4772-bf03-86fa13badc91"/>
  </r>
  <r>
    <x v="428"/>
    <x v="15"/>
    <x v="2"/>
    <n v="36"/>
    <n v="273869.06"/>
    <n v="9859286.1600000001"/>
    <d v="2025-02-10T00:00:00"/>
    <x v="4"/>
    <s v="dbff00b0-7fe6-40f3-8e31-41ec5c311464"/>
  </r>
  <r>
    <x v="429"/>
    <x v="12"/>
    <x v="2"/>
    <n v="46.8"/>
    <n v="197955.66"/>
    <n v="9264324.8880000003"/>
    <d v="2024-07-17T00:00:00"/>
    <x v="3"/>
    <s v="28457780-5e20-4957-aab8-bd33911f730b"/>
  </r>
  <r>
    <x v="430"/>
    <x v="15"/>
    <x v="7"/>
    <n v="46.8"/>
    <n v="5211.66"/>
    <n v="243905.68799999997"/>
    <d v="2023-12-24T00:00:00"/>
    <x v="0"/>
    <s v="e4eec67c-1a57-49e4-85f8-e2f8414f4994"/>
  </r>
  <r>
    <x v="431"/>
    <x v="0"/>
    <x v="6"/>
    <n v="46.8"/>
    <n v="159897.64000000001"/>
    <n v="7483209.5520000001"/>
    <d v="2023-12-14T00:00:00"/>
    <x v="4"/>
    <s v="1d8680cb-b908-40f3-ac93-281a92ebeab0"/>
  </r>
  <r>
    <x v="0"/>
    <x v="18"/>
    <x v="2"/>
    <n v="83"/>
    <n v="123695.88"/>
    <n v="10266758.039999999"/>
    <d v="2025-04-14T00:00:00"/>
    <x v="2"/>
    <s v="00a85473-8242-4912-bda3-c1623a78b64a"/>
  </r>
  <r>
    <x v="432"/>
    <x v="11"/>
    <x v="7"/>
    <n v="46.8"/>
    <n v="5509.48"/>
    <n v="257843.66399999996"/>
    <d v="2024-09-01T00:00:00"/>
    <x v="4"/>
    <s v="03254fbd-dce8-41c5-9bd3-0aec0b461173"/>
  </r>
  <r>
    <x v="433"/>
    <x v="18"/>
    <x v="7"/>
    <n v="20"/>
    <n v="155703.70000000001"/>
    <n v="3114074"/>
    <d v="2024-02-06T00:00:00"/>
    <x v="2"/>
    <s v="5d2d904f-78c5-4073-8bc5-72073e9aec86"/>
  </r>
  <r>
    <x v="434"/>
    <x v="8"/>
    <x v="0"/>
    <n v="46.8"/>
    <n v="216796.72"/>
    <n v="10146086.495999999"/>
    <d v="2025-07-04T00:00:00"/>
    <x v="3"/>
    <s v="2dd0622e-266b-42ea-ab93-f78c620af158"/>
  </r>
  <r>
    <x v="435"/>
    <x v="15"/>
    <x v="2"/>
    <n v="46.8"/>
    <n v="160953.56"/>
    <n v="7532626.6079999991"/>
    <d v="2024-09-19T00:00:00"/>
    <x v="0"/>
    <s v="090d9655-db84-4660-b5d8-fb91ee6081ac"/>
  </r>
  <r>
    <x v="436"/>
    <x v="16"/>
    <x v="3"/>
    <n v="46.8"/>
    <n v="86363.22"/>
    <n v="4041798.696"/>
    <d v="2025-01-01T00:00:00"/>
    <x v="0"/>
    <s v="b6ca1127-e9f8-4970-8d98-f9e28d888beb"/>
  </r>
  <r>
    <x v="437"/>
    <x v="18"/>
    <x v="5"/>
    <n v="6"/>
    <n v="150913.70000000001"/>
    <n v="905482.2"/>
    <d v="2024-02-06T00:00:00"/>
    <x v="1"/>
    <s v="3979d5f5-6b5b-4975-a7dc-2bc0bd9c4693"/>
  </r>
  <r>
    <x v="438"/>
    <x v="5"/>
    <x v="3"/>
    <n v="11"/>
    <n v="209508.79"/>
    <n v="2304596.69"/>
    <d v="2023-10-25T00:00:00"/>
    <x v="0"/>
    <s v="ea75752d-6a8f-4acb-bf8e-2d0d52619dec"/>
  </r>
  <r>
    <x v="439"/>
    <x v="4"/>
    <x v="3"/>
    <n v="46.8"/>
    <n v="129456.68"/>
    <n v="6058572.6239999989"/>
    <d v="2023-10-03T00:00:00"/>
    <x v="3"/>
    <s v="Unknown"/>
  </r>
  <r>
    <x v="440"/>
    <x v="10"/>
    <x v="2"/>
    <n v="46.8"/>
    <n v="281943.71999999997"/>
    <n v="13194966.095999997"/>
    <d v="2024-10-31T00:00:00"/>
    <x v="4"/>
    <s v="d3748a11-4571-4959-91e7-44e4b864ca08"/>
  </r>
  <r>
    <x v="441"/>
    <x v="8"/>
    <x v="1"/>
    <n v="46.8"/>
    <n v="54190.42"/>
    <n v="2536111.656"/>
    <d v="2025-02-05T00:00:00"/>
    <x v="3"/>
    <s v="1e910f36-5f70-4b25-9250-2e5913f06822"/>
  </r>
  <r>
    <x v="442"/>
    <x v="16"/>
    <x v="4"/>
    <n v="46.8"/>
    <n v="275455.63"/>
    <n v="12891323.483999999"/>
    <d v="2024-10-08T00:00:00"/>
    <x v="0"/>
    <s v="0d7bec04-e6e5-4b32-ac5f-12ef8085c147"/>
  </r>
  <r>
    <x v="443"/>
    <x v="14"/>
    <x v="7"/>
    <n v="82"/>
    <n v="155703.70000000001"/>
    <n v="12767703.4"/>
    <d v="2024-01-12T00:00:00"/>
    <x v="4"/>
    <s v="8409c5ea-cde9-48b3-b922-a7e42de982f8"/>
  </r>
  <r>
    <x v="0"/>
    <x v="12"/>
    <x v="2"/>
    <n v="46.8"/>
    <n v="157553.43"/>
    <n v="7373500.5239999993"/>
    <d v="2024-01-15T00:00:00"/>
    <x v="3"/>
    <s v="66a302d6-f43e-4c48-8bc1-f9e5fb3df063"/>
  </r>
  <r>
    <x v="444"/>
    <x v="7"/>
    <x v="0"/>
    <n v="46.8"/>
    <n v="72670.17"/>
    <n v="3400963.9559999998"/>
    <d v="2023-08-19T00:00:00"/>
    <x v="0"/>
    <s v="ddb449dc-7710-4966-a082-7f7611a529b4"/>
  </r>
  <r>
    <x v="445"/>
    <x v="18"/>
    <x v="7"/>
    <n v="46.8"/>
    <n v="186124.36"/>
    <n v="8710620.0479999986"/>
    <d v="2024-12-12T00:00:00"/>
    <x v="0"/>
    <s v="4f89e3b2-d847-4c53-8605-e58a48454343"/>
  </r>
  <r>
    <x v="446"/>
    <x v="16"/>
    <x v="5"/>
    <n v="62"/>
    <n v="76099.25"/>
    <n v="4718153.5"/>
    <d v="2025-06-13T00:00:00"/>
    <x v="0"/>
    <s v="74ed5145-8d97-45c7-961d-5c8753c9fe59"/>
  </r>
  <r>
    <x v="447"/>
    <x v="5"/>
    <x v="1"/>
    <n v="46.8"/>
    <n v="106655.11"/>
    <n v="4991459.148"/>
    <d v="2024-08-26T00:00:00"/>
    <x v="1"/>
    <s v="4aa5f9d3-335f-4f59-9e71-7fca020a4497"/>
  </r>
  <r>
    <x v="448"/>
    <x v="1"/>
    <x v="4"/>
    <n v="46.8"/>
    <n v="238583.43"/>
    <n v="11165704.523999998"/>
    <d v="2024-01-02T00:00:00"/>
    <x v="1"/>
    <s v="bd54da04-4dcd-4009-88d5-77179055a36f"/>
  </r>
  <r>
    <x v="449"/>
    <x v="18"/>
    <x v="2"/>
    <n v="46.8"/>
    <n v="24166.26"/>
    <n v="1130980.9679999999"/>
    <d v="2024-11-17T00:00:00"/>
    <x v="1"/>
    <s v="5e472e22-76c3-4642-be19-fc1d9f6a6a65"/>
  </r>
  <r>
    <x v="450"/>
    <x v="18"/>
    <x v="5"/>
    <n v="8"/>
    <n v="287809.69"/>
    <n v="2302477.52"/>
    <d v="2024-01-07T00:00:00"/>
    <x v="4"/>
    <s v="ff6ef9ed-7e4c-429f-b8cb-ab4c97790e84"/>
  </r>
  <r>
    <x v="451"/>
    <x v="10"/>
    <x v="6"/>
    <n v="46.8"/>
    <n v="137969.82"/>
    <n v="6456987.5760000004"/>
    <d v="2023-08-20T00:00:00"/>
    <x v="3"/>
    <s v="bb82b796-3207-443e-86a0-7656c5c9fb91"/>
  </r>
  <r>
    <x v="452"/>
    <x v="8"/>
    <x v="1"/>
    <n v="46.8"/>
    <n v="155703.70000000001"/>
    <n v="7286933.1600000001"/>
    <d v="2023-09-26T00:00:00"/>
    <x v="4"/>
    <s v="Unknown"/>
  </r>
  <r>
    <x v="453"/>
    <x v="7"/>
    <x v="3"/>
    <n v="46.8"/>
    <n v="73340.759999999995"/>
    <n v="3432347.5679999995"/>
    <d v="2024-05-27T00:00:00"/>
    <x v="4"/>
    <s v="cbc4ec0e-c2ae-4674-8beb-4e78e68373a3"/>
  </r>
  <r>
    <x v="454"/>
    <x v="12"/>
    <x v="1"/>
    <n v="78"/>
    <n v="209322.28"/>
    <n v="16327137.84"/>
    <d v="2024-03-23T00:00:00"/>
    <x v="0"/>
    <s v="eeb19ad2-01a1-4b0f-a68b-84b63ec0a285"/>
  </r>
  <r>
    <x v="455"/>
    <x v="15"/>
    <x v="5"/>
    <n v="46.8"/>
    <n v="90342.399999999994"/>
    <n v="4228024.3199999994"/>
    <d v="2025-01-18T00:00:00"/>
    <x v="2"/>
    <s v="8aa2b4c9-3ba5-4d76-861e-fb9568f82063"/>
  </r>
  <r>
    <x v="0"/>
    <x v="13"/>
    <x v="2"/>
    <n v="46.8"/>
    <n v="248504.59"/>
    <n v="11630014.811999999"/>
    <d v="2024-07-11T00:00:00"/>
    <x v="2"/>
    <s v="b186a5a8-d6ee-426b-a2cd-159058af393c"/>
  </r>
  <r>
    <x v="456"/>
    <x v="13"/>
    <x v="1"/>
    <n v="46.8"/>
    <n v="24644.77"/>
    <n v="1153375.236"/>
    <d v="2023-09-27T00:00:00"/>
    <x v="0"/>
    <s v="55c3b2db-f374-490d-8274-ce40e09016b6"/>
  </r>
  <r>
    <x v="457"/>
    <x v="13"/>
    <x v="2"/>
    <n v="46.8"/>
    <n v="297506.57"/>
    <n v="13923307.476"/>
    <d v="2024-12-21T00:00:00"/>
    <x v="2"/>
    <s v="60538c1b-a845-40a1-8249-2e5e005fd0e6"/>
  </r>
  <r>
    <x v="458"/>
    <x v="10"/>
    <x v="0"/>
    <n v="46.8"/>
    <n v="195143.39"/>
    <n v="9132710.6520000007"/>
    <d v="2025-02-28T00:00:00"/>
    <x v="4"/>
    <s v="4eb9047d-ba2a-43d9-bcf2-fc3bd95874c2"/>
  </r>
  <r>
    <x v="459"/>
    <x v="11"/>
    <x v="2"/>
    <n v="46.8"/>
    <n v="9989.51"/>
    <n v="467509.06799999997"/>
    <d v="2023-10-25T00:00:00"/>
    <x v="3"/>
    <s v="fbad793f-87a1-4c02-b487-9e411a9c672a"/>
  </r>
  <r>
    <x v="460"/>
    <x v="19"/>
    <x v="5"/>
    <n v="46.8"/>
    <n v="121880.85"/>
    <n v="5704023.7800000003"/>
    <d v="2023-07-15T00:00:00"/>
    <x v="1"/>
    <s v="f610396b-7df5-4abf-ab79-0d013cf88d20"/>
  </r>
  <r>
    <x v="461"/>
    <x v="14"/>
    <x v="4"/>
    <n v="46.8"/>
    <n v="155703.70000000001"/>
    <n v="7286933.1600000001"/>
    <d v="2024-09-10T00:00:00"/>
    <x v="4"/>
    <s v="247296a4-ff38-4918-b8f9-a45d0f554896"/>
  </r>
  <r>
    <x v="462"/>
    <x v="6"/>
    <x v="0"/>
    <n v="58"/>
    <n v="113462.29"/>
    <n v="6580812.8200000003"/>
    <d v="2025-07-01T00:00:00"/>
    <x v="4"/>
    <s v="0b3d0c36-17d0-4810-87a2-a10bb62edb49"/>
  </r>
  <r>
    <x v="463"/>
    <x v="18"/>
    <x v="4"/>
    <n v="19"/>
    <n v="143063.53"/>
    <n v="2718207.07"/>
    <d v="2023-11-10T00:00:00"/>
    <x v="3"/>
    <s v="d872f72e-e5b4-41ae-bb41-c943ebd8a3b1"/>
  </r>
  <r>
    <x v="464"/>
    <x v="11"/>
    <x v="1"/>
    <n v="46.8"/>
    <n v="191206.05"/>
    <n v="8948443.1399999987"/>
    <d v="2024-05-22T00:00:00"/>
    <x v="2"/>
    <s v="e5449887-b36a-43ed-a9be-173a850ef0ad"/>
  </r>
  <r>
    <x v="465"/>
    <x v="12"/>
    <x v="3"/>
    <n v="46.8"/>
    <n v="211002.12"/>
    <n v="9874899.216"/>
    <d v="2024-11-29T00:00:00"/>
    <x v="3"/>
    <s v="Unknown"/>
  </r>
  <r>
    <x v="466"/>
    <x v="15"/>
    <x v="6"/>
    <n v="54"/>
    <n v="25264.49"/>
    <n v="1364282.46"/>
    <d v="2025-07-06T00:00:00"/>
    <x v="4"/>
    <s v="bf7655d7-f97c-4c3c-b55d-814b5f5ba255"/>
  </r>
  <r>
    <x v="467"/>
    <x v="6"/>
    <x v="5"/>
    <n v="46.8"/>
    <n v="253676.27"/>
    <n v="11872049.435999999"/>
    <d v="2025-05-25T00:00:00"/>
    <x v="0"/>
    <s v="8163b6ce-1877-4c06-94ad-625215bc2a3e"/>
  </r>
  <r>
    <x v="0"/>
    <x v="3"/>
    <x v="4"/>
    <n v="46.8"/>
    <n v="193649.72"/>
    <n v="9062806.8959999997"/>
    <d v="2025-05-23T00:00:00"/>
    <x v="0"/>
    <s v="64f434d6-d1e9-4691-a320-9116222df6a4"/>
  </r>
  <r>
    <x v="468"/>
    <x v="18"/>
    <x v="6"/>
    <n v="41"/>
    <n v="99715.55"/>
    <n v="4088337.55"/>
    <d v="2024-07-14T00:00:00"/>
    <x v="4"/>
    <s v="0ff1c51f-915c-431b-9786-7b1213281726"/>
  </r>
  <r>
    <x v="469"/>
    <x v="3"/>
    <x v="7"/>
    <n v="98"/>
    <n v="293210.09999999998"/>
    <n v="28734589.800000001"/>
    <d v="2024-07-15T00:00:00"/>
    <x v="0"/>
    <s v="21761930-f6d7-4248-a995-ecc36f5b09a6"/>
  </r>
  <r>
    <x v="470"/>
    <x v="10"/>
    <x v="2"/>
    <n v="46.8"/>
    <n v="155703.70000000001"/>
    <n v="7286933.1600000001"/>
    <d v="2024-11-27T00:00:00"/>
    <x v="2"/>
    <s v="d9d57b02-42d0-4d55-8aab-47b23c9d128a"/>
  </r>
  <r>
    <x v="471"/>
    <x v="4"/>
    <x v="4"/>
    <n v="46.8"/>
    <n v="292165"/>
    <n v="13673322"/>
    <d v="2023-12-12T00:00:00"/>
    <x v="3"/>
    <s v="64988bde-cd02-44db-ad11-15d750a46c85"/>
  </r>
  <r>
    <x v="472"/>
    <x v="1"/>
    <x v="0"/>
    <n v="46.8"/>
    <n v="268489.96999999997"/>
    <n v="12565330.595999997"/>
    <d v="2025-02-17T00:00:00"/>
    <x v="1"/>
    <s v="53853918-bc40-45fa-94f7-6322b362c0d2"/>
  </r>
  <r>
    <x v="473"/>
    <x v="9"/>
    <x v="5"/>
    <n v="3"/>
    <n v="275786.09000000003"/>
    <n v="827358.27"/>
    <d v="2024-02-19T00:00:00"/>
    <x v="3"/>
    <s v="3bcdf203-459e-4674-b3e7-f042516c3b0a"/>
  </r>
  <r>
    <x v="474"/>
    <x v="3"/>
    <x v="2"/>
    <n v="46.8"/>
    <n v="69315.070000000007"/>
    <n v="3243945.2760000001"/>
    <d v="2024-03-16T00:00:00"/>
    <x v="1"/>
    <s v="22d839d3-33e4-4986-b18c-ccdc131eb723"/>
  </r>
  <r>
    <x v="475"/>
    <x v="19"/>
    <x v="6"/>
    <n v="59"/>
    <n v="270431.25"/>
    <n v="15955443.75"/>
    <d v="2024-02-17T00:00:00"/>
    <x v="4"/>
    <s v="1be5a4c3-95af-4d0c-8528-5425c7a9f33c"/>
  </r>
  <r>
    <x v="476"/>
    <x v="12"/>
    <x v="5"/>
    <n v="46.8"/>
    <n v="207840.17"/>
    <n v="9726919.9560000002"/>
    <d v="2024-11-23T00:00:00"/>
    <x v="4"/>
    <s v="7316ce64-2a14-4a96-9b0c-62eb27c8fc6c"/>
  </r>
  <r>
    <x v="477"/>
    <x v="6"/>
    <x v="4"/>
    <n v="46"/>
    <n v="170251.85"/>
    <n v="7831585.0999999996"/>
    <d v="2023-08-25T00:00:00"/>
    <x v="1"/>
    <s v="1ee89a4c-6811-44e2-9064-7c59774f6354"/>
  </r>
  <r>
    <x v="478"/>
    <x v="13"/>
    <x v="3"/>
    <n v="46.8"/>
    <n v="81692.97"/>
    <n v="3823230.9959999998"/>
    <d v="2025-06-15T00:00:00"/>
    <x v="0"/>
    <s v="Unknown"/>
  </r>
  <r>
    <x v="479"/>
    <x v="8"/>
    <x v="0"/>
    <n v="46.8"/>
    <n v="277285.7"/>
    <n v="12976970.76"/>
    <d v="2025-02-27T00:00:00"/>
    <x v="4"/>
    <s v="c534ca08-f6f2-4d1c-9bb8-b9c8893259f3"/>
  </r>
  <r>
    <x v="0"/>
    <x v="7"/>
    <x v="7"/>
    <n v="46.8"/>
    <n v="155703.70000000001"/>
    <n v="7286933.1600000001"/>
    <d v="2023-09-18T00:00:00"/>
    <x v="2"/>
    <s v="769de1e3-4eed-4124-b3b0-d6763527a5c8"/>
  </r>
  <r>
    <x v="480"/>
    <x v="10"/>
    <x v="5"/>
    <n v="46.8"/>
    <n v="205486.41"/>
    <n v="9616763.9879999999"/>
    <d v="2024-11-28T00:00:00"/>
    <x v="2"/>
    <s v="1725d2c7-1eb2-47b8-9a3c-45ca43d78f2b"/>
  </r>
  <r>
    <x v="481"/>
    <x v="16"/>
    <x v="3"/>
    <n v="69"/>
    <n v="84471.72"/>
    <n v="5828548.6799999997"/>
    <d v="2024-09-28T00:00:00"/>
    <x v="2"/>
    <s v="4de1087b-afa1-4a55-8ebe-abaa28597b34"/>
  </r>
  <r>
    <x v="482"/>
    <x v="19"/>
    <x v="4"/>
    <n v="46.8"/>
    <n v="163137.69"/>
    <n v="7634843.892"/>
    <d v="2024-01-07T00:00:00"/>
    <x v="2"/>
    <s v="9a72083c-b266-486c-b467-88bdd38e13e4"/>
  </r>
  <r>
    <x v="483"/>
    <x v="16"/>
    <x v="0"/>
    <n v="46.8"/>
    <n v="197603.72"/>
    <n v="9247854.095999999"/>
    <d v="2024-08-29T00:00:00"/>
    <x v="1"/>
    <s v="db4862c2-d5ff-4a1f-b70b-9a290a530df9"/>
  </r>
  <r>
    <x v="484"/>
    <x v="3"/>
    <x v="2"/>
    <n v="46.8"/>
    <n v="54216.67"/>
    <n v="2537340.156"/>
    <d v="2025-02-03T00:00:00"/>
    <x v="0"/>
    <s v="b60e695c-1759-4a96-a5f8-8c7453ea4919"/>
  </r>
  <r>
    <x v="485"/>
    <x v="4"/>
    <x v="6"/>
    <n v="46.8"/>
    <n v="255203.07"/>
    <n v="11943503.675999999"/>
    <d v="2025-01-22T00:00:00"/>
    <x v="1"/>
    <s v="657046ea-5b11-451f-b7e9-101d3f8b4433"/>
  </r>
  <r>
    <x v="486"/>
    <x v="1"/>
    <x v="4"/>
    <n v="47"/>
    <n v="5189.6000000000004"/>
    <n v="243911.2"/>
    <d v="2025-05-01T00:00:00"/>
    <x v="4"/>
    <s v="4c80d33a-ad5b-43c8-8c88-0714837217e0"/>
  </r>
  <r>
    <x v="487"/>
    <x v="0"/>
    <x v="1"/>
    <n v="52"/>
    <n v="62543.86"/>
    <n v="3252280.72"/>
    <d v="2025-07-07T00:00:00"/>
    <x v="2"/>
    <s v="2c82989f-fd9c-4bb0-91f1-6485429a4a7c"/>
  </r>
  <r>
    <x v="488"/>
    <x v="8"/>
    <x v="7"/>
    <n v="46.8"/>
    <n v="43685.37"/>
    <n v="2044475.3160000001"/>
    <d v="2023-08-08T00:00:00"/>
    <x v="2"/>
    <s v="dac726b6-6786-4fb3-b3bc-9a7107f4fee5"/>
  </r>
  <r>
    <x v="489"/>
    <x v="3"/>
    <x v="7"/>
    <n v="46.8"/>
    <n v="155703.70000000001"/>
    <n v="7286933.1600000001"/>
    <d v="2025-06-19T00:00:00"/>
    <x v="2"/>
    <s v="8cd4b90a-bf82-41bc-8e52-fc4273c374a6"/>
  </r>
  <r>
    <x v="490"/>
    <x v="14"/>
    <x v="2"/>
    <n v="46.8"/>
    <n v="246296.88"/>
    <n v="11526693.983999999"/>
    <d v="2025-06-25T00:00:00"/>
    <x v="4"/>
    <s v="1a16998c-7648-476e-983f-ea703ff6579e"/>
  </r>
  <r>
    <x v="491"/>
    <x v="11"/>
    <x v="0"/>
    <n v="46.8"/>
    <n v="246360.27"/>
    <n v="11529660.635999998"/>
    <d v="2023-11-23T00:00:00"/>
    <x v="3"/>
    <s v="Unknown"/>
  </r>
  <r>
    <x v="0"/>
    <x v="13"/>
    <x v="4"/>
    <n v="46.8"/>
    <n v="278698.03999999998"/>
    <n v="13043068.271999998"/>
    <d v="2024-05-30T00:00:00"/>
    <x v="1"/>
    <s v="1f178f93-23c9-4a1e-8b37-1d97cdcc2d6a"/>
  </r>
  <r>
    <x v="492"/>
    <x v="9"/>
    <x v="4"/>
    <n v="46.8"/>
    <n v="90133.43"/>
    <n v="4218244.5239999993"/>
    <d v="2025-05-26T00:00:00"/>
    <x v="0"/>
    <s v="c7ecfe71-d493-47fc-8fc9-8d2e030f9be9"/>
  </r>
  <r>
    <x v="493"/>
    <x v="5"/>
    <x v="3"/>
    <n v="46.8"/>
    <n v="169405.48"/>
    <n v="7928176.4639999997"/>
    <d v="2025-04-21T00:00:00"/>
    <x v="4"/>
    <s v="32b8d8aa-2176-4dd7-b8e7-e019fb8986c8"/>
  </r>
  <r>
    <x v="494"/>
    <x v="3"/>
    <x v="1"/>
    <n v="46.8"/>
    <n v="170225.43"/>
    <n v="7966550.1239999989"/>
    <d v="2023-11-24T00:00:00"/>
    <x v="3"/>
    <s v="afb06406-5f4b-4a97-a68c-879bd2dc42c8"/>
  </r>
  <r>
    <x v="495"/>
    <x v="0"/>
    <x v="6"/>
    <n v="16"/>
    <n v="254908.01"/>
    <n v="4078528.16"/>
    <d v="2025-07-05T00:00:00"/>
    <x v="3"/>
    <s v="15839b99-a50a-43dc-b004-e897a15b2e18"/>
  </r>
  <r>
    <x v="496"/>
    <x v="13"/>
    <x v="0"/>
    <n v="46.8"/>
    <n v="203271.97"/>
    <n v="9513128.1959999986"/>
    <d v="2025-06-24T00:00:00"/>
    <x v="0"/>
    <s v="eadc9960-4242-41e2-960b-e0f495132c22"/>
  </r>
  <r>
    <x v="497"/>
    <x v="4"/>
    <x v="5"/>
    <n v="46.8"/>
    <n v="162398.45000000001"/>
    <n v="7600247.46"/>
    <d v="2023-08-08T00:00:00"/>
    <x v="4"/>
    <s v="ff45f8a2-0594-424f-9332-5c31d010318a"/>
  </r>
  <r>
    <x v="498"/>
    <x v="13"/>
    <x v="6"/>
    <n v="46.8"/>
    <n v="155703.70000000001"/>
    <n v="7286933.1600000001"/>
    <d v="2025-04-20T00:00:00"/>
    <x v="3"/>
    <s v="a55f65b7-e709-4ba6-b29f-c41710813d45"/>
  </r>
  <r>
    <x v="499"/>
    <x v="11"/>
    <x v="1"/>
    <n v="97"/>
    <n v="115461.94"/>
    <n v="11199808.18"/>
    <d v="2024-05-14T00:00:00"/>
    <x v="2"/>
    <s v="178be968-20f8-4ba2-8f2e-32967184b713"/>
  </r>
  <r>
    <x v="500"/>
    <x v="5"/>
    <x v="6"/>
    <n v="46.8"/>
    <n v="222053.68"/>
    <n v="10392112.223999999"/>
    <d v="2025-03-14T00:00:00"/>
    <x v="0"/>
    <s v="cf133b65-d450-4fa2-98e7-0aebe7b33085"/>
  </r>
  <r>
    <x v="501"/>
    <x v="12"/>
    <x v="4"/>
    <n v="46.8"/>
    <n v="237254.18"/>
    <n v="11103495.624"/>
    <d v="2024-07-29T00:00:00"/>
    <x v="2"/>
    <s v="f1394e3c-0aee-4557-9f5d-f91254e07431"/>
  </r>
  <r>
    <x v="502"/>
    <x v="15"/>
    <x v="0"/>
    <n v="65"/>
    <n v="206948.51"/>
    <n v="13451653.15"/>
    <d v="2023-12-02T00:00:00"/>
    <x v="0"/>
    <s v="ec93e596-2b01-4723-8cf6-97a57603c36c"/>
  </r>
  <r>
    <x v="503"/>
    <x v="13"/>
    <x v="6"/>
    <n v="6"/>
    <n v="23989.09"/>
    <n v="143934.54"/>
    <d v="2025-07-07T00:00:00"/>
    <x v="1"/>
    <s v="b9744cde-d259-4960-aee3-560792ea1324"/>
  </r>
  <r>
    <x v="0"/>
    <x v="12"/>
    <x v="2"/>
    <n v="46.8"/>
    <n v="223764.24"/>
    <n v="10472166.431999998"/>
    <d v="2025-02-11T00:00:00"/>
    <x v="1"/>
    <s v="Unknown"/>
  </r>
  <r>
    <x v="504"/>
    <x v="11"/>
    <x v="7"/>
    <n v="46.8"/>
    <n v="104084.92"/>
    <n v="4871174.2560000001"/>
    <d v="2025-05-18T00:00:00"/>
    <x v="4"/>
    <s v="61fa8e7a-078c-46ce-bf02-23bc651ea252"/>
  </r>
  <r>
    <x v="505"/>
    <x v="8"/>
    <x v="5"/>
    <n v="46.8"/>
    <n v="29756.89"/>
    <n v="1392622.4519999998"/>
    <d v="2025-06-29T00:00:00"/>
    <x v="3"/>
    <s v="5a9c0679-2c3d-47e2-ad39-da75aee70ab2"/>
  </r>
  <r>
    <x v="506"/>
    <x v="5"/>
    <x v="3"/>
    <n v="46.8"/>
    <n v="70027.13"/>
    <n v="3277269.6839999999"/>
    <d v="2024-02-20T00:00:00"/>
    <x v="2"/>
    <s v="46653497-2fe9-42aa-a886-a01136f7a26c"/>
  </r>
  <r>
    <x v="507"/>
    <x v="20"/>
    <x v="8"/>
    <m/>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92:B602"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axis="axisRow" showAll="0">
      <items count="10">
        <item x="3"/>
        <item x="5"/>
        <item x="1"/>
        <item x="0"/>
        <item x="4"/>
        <item x="6"/>
        <item x="7"/>
        <item x="2"/>
        <item x="8"/>
        <item t="default"/>
      </items>
    </pivotField>
    <pivotField dataField="1" showAll="0"/>
    <pivotField showAll="0"/>
    <pivotField showAll="0"/>
    <pivotField showAll="0"/>
    <pivotField showAll="0">
      <items count="7">
        <item x="3"/>
        <item x="0"/>
        <item x="4"/>
        <item x="2"/>
        <item x="1"/>
        <item x="5"/>
        <item t="default"/>
      </items>
    </pivotField>
    <pivotField showAll="0"/>
  </pivotFields>
  <rowFields count="1">
    <field x="2"/>
  </rowFields>
  <rowItems count="10">
    <i>
      <x/>
    </i>
    <i>
      <x v="1"/>
    </i>
    <i>
      <x v="2"/>
    </i>
    <i>
      <x v="3"/>
    </i>
    <i>
      <x v="4"/>
    </i>
    <i>
      <x v="5"/>
    </i>
    <i>
      <x v="6"/>
    </i>
    <i>
      <x v="7"/>
    </i>
    <i>
      <x v="8"/>
    </i>
    <i t="grand">
      <x/>
    </i>
  </rowItems>
  <colItems count="1">
    <i/>
  </colItems>
  <dataFields count="1">
    <dataField name="Sum of Units Sold" fld="3" baseField="2" baseItem="0"/>
  </dataFields>
  <chartFormats count="2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5"/>
          </reference>
        </references>
      </pivotArea>
    </chartFormat>
    <chartFormat chart="2" format="6">
      <pivotArea type="data" outline="0" fieldPosition="0">
        <references count="2">
          <reference field="4294967294" count="1" selected="0">
            <x v="0"/>
          </reference>
          <reference field="2" count="1" selected="0">
            <x v="7"/>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6"/>
          </reference>
        </references>
      </pivotArea>
    </chartFormat>
    <chartFormat chart="2" format="9">
      <pivotArea type="data" outline="0" fieldPosition="0">
        <references count="2">
          <reference field="4294967294" count="1" selected="0">
            <x v="0"/>
          </reference>
          <reference field="2" count="1" selected="0">
            <x v="8"/>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2" count="1" selected="0">
            <x v="0"/>
          </reference>
        </references>
      </pivotArea>
    </chartFormat>
    <chartFormat chart="5" format="22">
      <pivotArea type="data" outline="0" fieldPosition="0">
        <references count="2">
          <reference field="4294967294" count="1" selected="0">
            <x v="0"/>
          </reference>
          <reference field="2" count="1" selected="0">
            <x v="1"/>
          </reference>
        </references>
      </pivotArea>
    </chartFormat>
    <chartFormat chart="5" format="23">
      <pivotArea type="data" outline="0" fieldPosition="0">
        <references count="2">
          <reference field="4294967294" count="1" selected="0">
            <x v="0"/>
          </reference>
          <reference field="2" count="1" selected="0">
            <x v="2"/>
          </reference>
        </references>
      </pivotArea>
    </chartFormat>
    <chartFormat chart="5" format="24">
      <pivotArea type="data" outline="0" fieldPosition="0">
        <references count="2">
          <reference field="4294967294" count="1" selected="0">
            <x v="0"/>
          </reference>
          <reference field="2" count="1" selected="0">
            <x v="3"/>
          </reference>
        </references>
      </pivotArea>
    </chartFormat>
    <chartFormat chart="5" format="25">
      <pivotArea type="data" outline="0" fieldPosition="0">
        <references count="2">
          <reference field="4294967294" count="1" selected="0">
            <x v="0"/>
          </reference>
          <reference field="2" count="1" selected="0">
            <x v="4"/>
          </reference>
        </references>
      </pivotArea>
    </chartFormat>
    <chartFormat chart="5" format="26">
      <pivotArea type="data" outline="0" fieldPosition="0">
        <references count="2">
          <reference field="4294967294" count="1" selected="0">
            <x v="0"/>
          </reference>
          <reference field="2" count="1" selected="0">
            <x v="5"/>
          </reference>
        </references>
      </pivotArea>
    </chartFormat>
    <chartFormat chart="5" format="27">
      <pivotArea type="data" outline="0" fieldPosition="0">
        <references count="2">
          <reference field="4294967294" count="1" selected="0">
            <x v="0"/>
          </reference>
          <reference field="2" count="1" selected="0">
            <x v="6"/>
          </reference>
        </references>
      </pivotArea>
    </chartFormat>
    <chartFormat chart="5" format="28">
      <pivotArea type="data" outline="0" fieldPosition="0">
        <references count="2">
          <reference field="4294967294" count="1" selected="0">
            <x v="0"/>
          </reference>
          <reference field="2" count="1" selected="0">
            <x v="7"/>
          </reference>
        </references>
      </pivotArea>
    </chartFormat>
    <chartFormat chart="5" format="2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0:B42" firstHeaderRow="1" firstDataRow="1" firstDataCol="1"/>
  <pivotFields count="9">
    <pivotField showAll="0"/>
    <pivotField axis="axisRow" showAll="0">
      <items count="22">
        <item x="9"/>
        <item x="2"/>
        <item x="11"/>
        <item x="16"/>
        <item x="18"/>
        <item x="19"/>
        <item x="3"/>
        <item x="13"/>
        <item x="10"/>
        <item x="5"/>
        <item x="14"/>
        <item x="6"/>
        <item x="12"/>
        <item x="1"/>
        <item x="8"/>
        <item x="17"/>
        <item x="4"/>
        <item x="7"/>
        <item x="0"/>
        <item x="15"/>
        <item x="20"/>
        <item t="default"/>
      </items>
    </pivotField>
    <pivotField showAll="0">
      <items count="10">
        <item x="3"/>
        <item x="5"/>
        <item x="1"/>
        <item x="0"/>
        <item x="4"/>
        <item x="6"/>
        <item x="7"/>
        <item x="2"/>
        <item x="8"/>
        <item t="default"/>
      </items>
    </pivotField>
    <pivotField showAll="0"/>
    <pivotField showAll="0"/>
    <pivotField dataField="1" showAll="0"/>
    <pivotField showAll="0"/>
    <pivotField showAll="0">
      <items count="7">
        <item x="3"/>
        <item x="0"/>
        <item x="4"/>
        <item x="2"/>
        <item x="1"/>
        <item x="5"/>
        <item t="default"/>
      </items>
    </pivotField>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otal Sale" fld="5" baseField="1"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77:B587"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axis="axisRow" showAll="0">
      <items count="10">
        <item x="3"/>
        <item x="5"/>
        <item x="1"/>
        <item x="0"/>
        <item x="4"/>
        <item x="6"/>
        <item x="7"/>
        <item x="2"/>
        <item x="8"/>
        <item t="default"/>
      </items>
    </pivotField>
    <pivotField showAll="0"/>
    <pivotField dataField="1" showAll="0"/>
    <pivotField showAll="0"/>
    <pivotField showAll="0"/>
    <pivotField showAll="0">
      <items count="7">
        <item x="3"/>
        <item x="0"/>
        <item x="4"/>
        <item x="2"/>
        <item x="1"/>
        <item x="5"/>
        <item t="default"/>
      </items>
    </pivotField>
    <pivotField showAll="0"/>
  </pivotFields>
  <rowFields count="1">
    <field x="2"/>
  </rowFields>
  <rowItems count="10">
    <i>
      <x/>
    </i>
    <i>
      <x v="1"/>
    </i>
    <i>
      <x v="2"/>
    </i>
    <i>
      <x v="3"/>
    </i>
    <i>
      <x v="4"/>
    </i>
    <i>
      <x v="5"/>
    </i>
    <i>
      <x v="6"/>
    </i>
    <i>
      <x v="7"/>
    </i>
    <i>
      <x v="8"/>
    </i>
    <i t="grand">
      <x/>
    </i>
  </rowItems>
  <colItems count="1">
    <i/>
  </colItems>
  <dataFields count="1">
    <dataField name="Average of Unit Price" fld="4" subtotal="average" baseField="2" baseItem="0"/>
  </dataFields>
  <chartFormats count="2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7"/>
          </reference>
        </references>
      </pivotArea>
    </chartFormat>
    <chartFormat chart="1" format="3">
      <pivotArea type="data" outline="0" fieldPosition="0">
        <references count="2">
          <reference field="4294967294" count="1" selected="0">
            <x v="0"/>
          </reference>
          <reference field="2" count="1" selected="0">
            <x v="6"/>
          </reference>
        </references>
      </pivotArea>
    </chartFormat>
    <chartFormat chart="1" format="4">
      <pivotArea type="data" outline="0" fieldPosition="0">
        <references count="2">
          <reference field="4294967294" count="1" selected="0">
            <x v="0"/>
          </reference>
          <reference field="2" count="1" selected="0">
            <x v="5"/>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3"/>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1"/>
          </reference>
        </references>
      </pivotArea>
    </chartFormat>
    <chartFormat chart="1" format="9">
      <pivotArea type="data" outline="0" fieldPosition="0">
        <references count="2">
          <reference field="4294967294" count="1" selected="0">
            <x v="0"/>
          </reference>
          <reference field="2" count="1" selected="0">
            <x v="8"/>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 count="1" selected="0">
            <x v="0"/>
          </reference>
        </references>
      </pivotArea>
    </chartFormat>
    <chartFormat chart="4" format="22">
      <pivotArea type="data" outline="0" fieldPosition="0">
        <references count="2">
          <reference field="4294967294" count="1" selected="0">
            <x v="0"/>
          </reference>
          <reference field="2" count="1" selected="0">
            <x v="1"/>
          </reference>
        </references>
      </pivotArea>
    </chartFormat>
    <chartFormat chart="4" format="23">
      <pivotArea type="data" outline="0" fieldPosition="0">
        <references count="2">
          <reference field="4294967294" count="1" selected="0">
            <x v="0"/>
          </reference>
          <reference field="2" count="1" selected="0">
            <x v="2"/>
          </reference>
        </references>
      </pivotArea>
    </chartFormat>
    <chartFormat chart="4" format="24">
      <pivotArea type="data" outline="0" fieldPosition="0">
        <references count="2">
          <reference field="4294967294" count="1" selected="0">
            <x v="0"/>
          </reference>
          <reference field="2" count="1" selected="0">
            <x v="3"/>
          </reference>
        </references>
      </pivotArea>
    </chartFormat>
    <chartFormat chart="4" format="25">
      <pivotArea type="data" outline="0" fieldPosition="0">
        <references count="2">
          <reference field="4294967294" count="1" selected="0">
            <x v="0"/>
          </reference>
          <reference field="2" count="1" selected="0">
            <x v="4"/>
          </reference>
        </references>
      </pivotArea>
    </chartFormat>
    <chartFormat chart="4" format="26">
      <pivotArea type="data" outline="0" fieldPosition="0">
        <references count="2">
          <reference field="4294967294" count="1" selected="0">
            <x v="0"/>
          </reference>
          <reference field="2" count="1" selected="0">
            <x v="5"/>
          </reference>
        </references>
      </pivotArea>
    </chartFormat>
    <chartFormat chart="4" format="27">
      <pivotArea type="data" outline="0" fieldPosition="0">
        <references count="2">
          <reference field="4294967294" count="1" selected="0">
            <x v="0"/>
          </reference>
          <reference field="2" count="1" selected="0">
            <x v="6"/>
          </reference>
        </references>
      </pivotArea>
    </chartFormat>
    <chartFormat chart="4" format="28">
      <pivotArea type="data" outline="0" fieldPosition="0">
        <references count="2">
          <reference field="4294967294" count="1" selected="0">
            <x v="0"/>
          </reference>
          <reference field="2" count="1" selected="0">
            <x v="7"/>
          </reference>
        </references>
      </pivotArea>
    </chartFormat>
    <chartFormat chart="4" format="29">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44:B51"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showAll="0">
      <items count="10">
        <item x="3"/>
        <item x="5"/>
        <item x="1"/>
        <item x="0"/>
        <item x="4"/>
        <item x="6"/>
        <item x="7"/>
        <item x="2"/>
        <item x="8"/>
        <item t="default"/>
      </items>
    </pivotField>
    <pivotField showAll="0"/>
    <pivotField showAll="0"/>
    <pivotField dataField="1" showAll="0"/>
    <pivotField showAll="0"/>
    <pivotField axis="axisRow" showAll="0">
      <items count="7">
        <item x="3"/>
        <item x="0"/>
        <item x="4"/>
        <item x="2"/>
        <item x="1"/>
        <item x="5"/>
        <item t="default"/>
      </items>
    </pivotField>
    <pivotField showAll="0"/>
  </pivotFields>
  <rowFields count="1">
    <field x="7"/>
  </rowFields>
  <rowItems count="7">
    <i>
      <x/>
    </i>
    <i>
      <x v="1"/>
    </i>
    <i>
      <x v="2"/>
    </i>
    <i>
      <x v="3"/>
    </i>
    <i>
      <x v="4"/>
    </i>
    <i>
      <x v="5"/>
    </i>
    <i t="grand">
      <x/>
    </i>
  </rowItems>
  <colItems count="1">
    <i/>
  </colItems>
  <dataFields count="1">
    <dataField name="Sum of Total Sale" fld="5" baseField="7" baseItem="0"/>
  </dataFields>
  <chartFormats count="2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4"/>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7"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4"/>
          </reference>
        </references>
      </pivotArea>
    </chartFormat>
    <chartFormat chart="4" format="9">
      <pivotArea type="data" outline="0" fieldPosition="0">
        <references count="2">
          <reference field="4294967294" count="1" selected="0">
            <x v="0"/>
          </reference>
          <reference field="7" count="1" selected="0">
            <x v="5"/>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 chart="7" format="13">
      <pivotArea type="data" outline="0" fieldPosition="0">
        <references count="2">
          <reference field="4294967294" count="1" selected="0">
            <x v="0"/>
          </reference>
          <reference field="7" count="1" selected="0">
            <x v="2"/>
          </reference>
        </references>
      </pivotArea>
    </chartFormat>
    <chartFormat chart="7" format="14">
      <pivotArea type="data" outline="0" fieldPosition="0">
        <references count="2">
          <reference field="4294967294" count="1" selected="0">
            <x v="0"/>
          </reference>
          <reference field="7" count="1" selected="0">
            <x v="3"/>
          </reference>
        </references>
      </pivotArea>
    </chartFormat>
    <chartFormat chart="7" format="15">
      <pivotArea type="data" outline="0" fieldPosition="0">
        <references count="2">
          <reference field="4294967294" count="1" selected="0">
            <x v="0"/>
          </reference>
          <reference field="7" count="1" selected="0">
            <x v="4"/>
          </reference>
        </references>
      </pivotArea>
    </chartFormat>
    <chartFormat chart="7" format="16">
      <pivotArea type="data" outline="0" fieldPosition="0">
        <references count="2">
          <reference field="4294967294" count="1" selected="0">
            <x v="0"/>
          </reference>
          <reference field="7" count="1" selected="0">
            <x v="5"/>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35:B645"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axis="axisRow" showAll="0">
      <items count="10">
        <item x="3"/>
        <item x="5"/>
        <item x="1"/>
        <item x="0"/>
        <item x="4"/>
        <item x="6"/>
        <item x="7"/>
        <item x="2"/>
        <item x="8"/>
        <item t="default"/>
      </items>
    </pivotField>
    <pivotField showAll="0"/>
    <pivotField dataField="1" showAll="0"/>
    <pivotField showAll="0"/>
    <pivotField showAll="0"/>
    <pivotField showAll="0">
      <items count="7">
        <item x="3"/>
        <item x="0"/>
        <item x="4"/>
        <item x="2"/>
        <item x="1"/>
        <item x="5"/>
        <item t="default"/>
      </items>
    </pivotField>
    <pivotField showAll="0"/>
  </pivotFields>
  <rowFields count="1">
    <field x="2"/>
  </rowFields>
  <rowItems count="10">
    <i>
      <x/>
    </i>
    <i>
      <x v="1"/>
    </i>
    <i>
      <x v="2"/>
    </i>
    <i>
      <x v="3"/>
    </i>
    <i>
      <x v="4"/>
    </i>
    <i>
      <x v="5"/>
    </i>
    <i>
      <x v="6"/>
    </i>
    <i>
      <x v="7"/>
    </i>
    <i>
      <x v="8"/>
    </i>
    <i t="grand">
      <x/>
    </i>
  </rowItems>
  <colItems count="1">
    <i/>
  </colItems>
  <dataFields count="1">
    <dataField name="Average of Unit Price" fld="4" subtotal="average" baseField="2" baseItem="0"/>
  </dataFields>
  <chartFormats count="1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7"/>
          </reference>
        </references>
      </pivotArea>
    </chartFormat>
    <chartFormat chart="4" format="4">
      <pivotArea type="data" outline="0" fieldPosition="0">
        <references count="2">
          <reference field="4294967294" count="1" selected="0">
            <x v="0"/>
          </reference>
          <reference field="2" count="1" selected="0">
            <x v="6"/>
          </reference>
        </references>
      </pivotArea>
    </chartFormat>
    <chartFormat chart="4" format="5">
      <pivotArea type="data" outline="0" fieldPosition="0">
        <references count="2">
          <reference field="4294967294" count="1" selected="0">
            <x v="0"/>
          </reference>
          <reference field="2" count="1" selected="0">
            <x v="5"/>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3"/>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2" count="1" selected="0">
            <x v="0"/>
          </reference>
        </references>
      </pivotArea>
    </chartFormat>
    <chartFormat chart="7" format="20">
      <pivotArea type="data" outline="0" fieldPosition="0">
        <references count="2">
          <reference field="4294967294" count="1" selected="0">
            <x v="0"/>
          </reference>
          <reference field="2" count="1" selected="0">
            <x v="1"/>
          </reference>
        </references>
      </pivotArea>
    </chartFormat>
    <chartFormat chart="7" format="21">
      <pivotArea type="data" outline="0" fieldPosition="0">
        <references count="2">
          <reference field="4294967294" count="1" selected="0">
            <x v="0"/>
          </reference>
          <reference field="2" count="1" selected="0">
            <x v="2"/>
          </reference>
        </references>
      </pivotArea>
    </chartFormat>
    <chartFormat chart="7" format="22">
      <pivotArea type="data" outline="0" fieldPosition="0">
        <references count="2">
          <reference field="4294967294" count="1" selected="0">
            <x v="0"/>
          </reference>
          <reference field="2" count="1" selected="0">
            <x v="3"/>
          </reference>
        </references>
      </pivotArea>
    </chartFormat>
    <chartFormat chart="7" format="23">
      <pivotArea type="data" outline="0" fieldPosition="0">
        <references count="2">
          <reference field="4294967294" count="1" selected="0">
            <x v="0"/>
          </reference>
          <reference field="2" count="1" selected="0">
            <x v="4"/>
          </reference>
        </references>
      </pivotArea>
    </chartFormat>
    <chartFormat chart="7" format="24">
      <pivotArea type="data" outline="0" fieldPosition="0">
        <references count="2">
          <reference field="4294967294" count="1" selected="0">
            <x v="0"/>
          </reference>
          <reference field="2" count="1" selected="0">
            <x v="5"/>
          </reference>
        </references>
      </pivotArea>
    </chartFormat>
    <chartFormat chart="7" format="25">
      <pivotArea type="data" outline="0" fieldPosition="0">
        <references count="2">
          <reference field="4294967294" count="1" selected="0">
            <x v="0"/>
          </reference>
          <reference field="2" count="1" selected="0">
            <x v="6"/>
          </reference>
        </references>
      </pivotArea>
    </chartFormat>
    <chartFormat chart="7" format="26">
      <pivotArea type="data" outline="0" fieldPosition="0">
        <references count="2">
          <reference field="4294967294" count="1" selected="0">
            <x v="0"/>
          </reference>
          <reference field="2" count="1" selected="0">
            <x v="7"/>
          </reference>
        </references>
      </pivotArea>
    </chartFormat>
    <chartFormat chart="7" format="27">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3:B572" firstHeaderRow="1" firstDataRow="1" firstDataCol="1"/>
  <pivotFields count="9">
    <pivotField axis="axisRow" showAll="0">
      <items count="509">
        <item x="458"/>
        <item x="97"/>
        <item x="7"/>
        <item x="386"/>
        <item x="199"/>
        <item x="90"/>
        <item x="384"/>
        <item x="176"/>
        <item x="452"/>
        <item x="181"/>
        <item x="454"/>
        <item x="196"/>
        <item x="370"/>
        <item x="1"/>
        <item x="340"/>
        <item x="168"/>
        <item x="167"/>
        <item x="280"/>
        <item x="66"/>
        <item x="299"/>
        <item x="145"/>
        <item x="75"/>
        <item x="350"/>
        <item x="335"/>
        <item x="241"/>
        <item x="237"/>
        <item x="140"/>
        <item x="410"/>
        <item x="77"/>
        <item x="183"/>
        <item x="194"/>
        <item x="45"/>
        <item x="3"/>
        <item x="96"/>
        <item x="216"/>
        <item x="342"/>
        <item x="44"/>
        <item x="378"/>
        <item x="30"/>
        <item x="408"/>
        <item x="415"/>
        <item x="123"/>
        <item x="329"/>
        <item x="184"/>
        <item x="317"/>
        <item x="398"/>
        <item x="118"/>
        <item x="434"/>
        <item x="496"/>
        <item x="220"/>
        <item x="254"/>
        <item x="226"/>
        <item x="488"/>
        <item x="244"/>
        <item x="506"/>
        <item x="323"/>
        <item x="155"/>
        <item x="457"/>
        <item x="446"/>
        <item x="59"/>
        <item x="326"/>
        <item x="501"/>
        <item x="210"/>
        <item x="16"/>
        <item x="92"/>
        <item x="392"/>
        <item x="289"/>
        <item x="40"/>
        <item x="450"/>
        <item x="73"/>
        <item x="362"/>
        <item x="207"/>
        <item x="129"/>
        <item x="102"/>
        <item x="20"/>
        <item x="307"/>
        <item x="68"/>
        <item x="287"/>
        <item x="417"/>
        <item x="38"/>
        <item x="208"/>
        <item x="433"/>
        <item x="385"/>
        <item x="337"/>
        <item x="374"/>
        <item x="321"/>
        <item x="141"/>
        <item x="358"/>
        <item x="94"/>
        <item x="104"/>
        <item x="88"/>
        <item x="437"/>
        <item x="233"/>
        <item x="144"/>
        <item x="211"/>
        <item x="268"/>
        <item x="331"/>
        <item x="319"/>
        <item x="6"/>
        <item x="63"/>
        <item x="138"/>
        <item x="451"/>
        <item x="221"/>
        <item x="366"/>
        <item x="401"/>
        <item x="5"/>
        <item x="114"/>
        <item x="53"/>
        <item x="478"/>
        <item x="255"/>
        <item x="341"/>
        <item x="269"/>
        <item x="453"/>
        <item x="395"/>
        <item x="334"/>
        <item x="86"/>
        <item x="336"/>
        <item x="134"/>
        <item x="170"/>
        <item x="197"/>
        <item x="4"/>
        <item x="52"/>
        <item x="172"/>
        <item x="139"/>
        <item x="238"/>
        <item x="142"/>
        <item x="206"/>
        <item x="290"/>
        <item x="339"/>
        <item x="151"/>
        <item x="480"/>
        <item x="309"/>
        <item x="98"/>
        <item x="193"/>
        <item x="35"/>
        <item x="191"/>
        <item x="371"/>
        <item x="259"/>
        <item x="93"/>
        <item x="153"/>
        <item x="212"/>
        <item x="18"/>
        <item x="262"/>
        <item x="154"/>
        <item x="116"/>
        <item x="264"/>
        <item x="64"/>
        <item x="246"/>
        <item x="382"/>
        <item x="186"/>
        <item x="310"/>
        <item x="209"/>
        <item x="456"/>
        <item x="132"/>
        <item x="15"/>
        <item x="306"/>
        <item x="285"/>
        <item x="39"/>
        <item x="131"/>
        <item x="223"/>
        <item x="203"/>
        <item x="372"/>
        <item x="427"/>
        <item x="50"/>
        <item x="461"/>
        <item x="414"/>
        <item x="126"/>
        <item x="205"/>
        <item x="23"/>
        <item x="109"/>
        <item x="482"/>
        <item x="473"/>
        <item x="424"/>
        <item x="248"/>
        <item x="42"/>
        <item x="9"/>
        <item x="115"/>
        <item x="397"/>
        <item x="420"/>
        <item x="62"/>
        <item x="8"/>
        <item x="376"/>
        <item x="425"/>
        <item x="416"/>
        <item x="399"/>
        <item x="491"/>
        <item x="301"/>
        <item x="490"/>
        <item x="125"/>
        <item x="367"/>
        <item x="443"/>
        <item x="17"/>
        <item x="481"/>
        <item x="251"/>
        <item x="431"/>
        <item x="419"/>
        <item x="497"/>
        <item x="69"/>
        <item x="32"/>
        <item x="387"/>
        <item x="348"/>
        <item x="12"/>
        <item x="160"/>
        <item x="171"/>
        <item x="271"/>
        <item x="484"/>
        <item x="466"/>
        <item x="128"/>
        <item x="439"/>
        <item x="158"/>
        <item x="469"/>
        <item x="357"/>
        <item x="120"/>
        <item x="36"/>
        <item x="164"/>
        <item x="465"/>
        <item x="418"/>
        <item x="426"/>
        <item x="162"/>
        <item x="500"/>
        <item x="396"/>
        <item x="222"/>
        <item x="440"/>
        <item x="292"/>
        <item x="328"/>
        <item x="407"/>
        <item x="409"/>
        <item x="355"/>
        <item x="356"/>
        <item x="65"/>
        <item x="282"/>
        <item x="190"/>
        <item x="51"/>
        <item x="99"/>
        <item x="231"/>
        <item x="441"/>
        <item x="404"/>
        <item x="413"/>
        <item x="505"/>
        <item x="169"/>
        <item x="166"/>
        <item x="195"/>
        <item x="60"/>
        <item x="47"/>
        <item x="95"/>
        <item x="295"/>
        <item x="322"/>
        <item x="485"/>
        <item x="273"/>
        <item x="187"/>
        <item x="332"/>
        <item x="315"/>
        <item x="71"/>
        <item x="464"/>
        <item x="136"/>
        <item x="249"/>
        <item x="204"/>
        <item x="286"/>
        <item x="49"/>
        <item x="173"/>
        <item x="157"/>
        <item x="266"/>
        <item x="275"/>
        <item x="146"/>
        <item x="477"/>
        <item x="26"/>
        <item x="113"/>
        <item x="412"/>
        <item x="215"/>
        <item x="475"/>
        <item x="27"/>
        <item x="219"/>
        <item x="192"/>
        <item x="380"/>
        <item x="504"/>
        <item x="214"/>
        <item x="258"/>
        <item x="403"/>
        <item x="236"/>
        <item x="149"/>
        <item x="468"/>
        <item x="261"/>
        <item x="344"/>
        <item x="479"/>
        <item x="298"/>
        <item x="81"/>
        <item x="460"/>
        <item x="365"/>
        <item x="122"/>
        <item x="352"/>
        <item x="305"/>
        <item x="243"/>
        <item x="308"/>
        <item x="267"/>
        <item x="250"/>
        <item x="351"/>
        <item x="227"/>
        <item x="247"/>
        <item x="256"/>
        <item x="489"/>
        <item x="121"/>
        <item x="296"/>
        <item x="391"/>
        <item x="234"/>
        <item x="316"/>
        <item x="74"/>
        <item x="361"/>
        <item x="179"/>
        <item x="495"/>
        <item x="333"/>
        <item x="185"/>
        <item x="163"/>
        <item x="288"/>
        <item x="89"/>
        <item x="80"/>
        <item x="13"/>
        <item x="411"/>
        <item x="19"/>
        <item x="230"/>
        <item x="406"/>
        <item x="472"/>
        <item x="189"/>
        <item x="405"/>
        <item x="106"/>
        <item x="293"/>
        <item x="21"/>
        <item x="430"/>
        <item x="421"/>
        <item x="304"/>
        <item x="277"/>
        <item x="455"/>
        <item x="218"/>
        <item x="493"/>
        <item x="54"/>
        <item x="423"/>
        <item x="133"/>
        <item x="402"/>
        <item x="25"/>
        <item x="174"/>
        <item x="91"/>
        <item x="242"/>
        <item x="225"/>
        <item x="302"/>
        <item x="379"/>
        <item x="130"/>
        <item x="78"/>
        <item x="494"/>
        <item x="498"/>
        <item x="201"/>
        <item x="159"/>
        <item x="213"/>
        <item x="229"/>
        <item x="177"/>
        <item x="83"/>
        <item x="353"/>
        <item x="56"/>
        <item x="235"/>
        <item x="422"/>
        <item x="165"/>
        <item x="178"/>
        <item x="228"/>
        <item x="14"/>
        <item x="156"/>
        <item x="127"/>
        <item x="124"/>
        <item x="82"/>
        <item x="11"/>
        <item x="486"/>
        <item x="383"/>
        <item x="502"/>
        <item x="444"/>
        <item x="260"/>
        <item x="429"/>
        <item x="324"/>
        <item x="200"/>
        <item x="34"/>
        <item x="279"/>
        <item x="343"/>
        <item x="175"/>
        <item x="363"/>
        <item x="2"/>
        <item x="252"/>
        <item x="152"/>
        <item x="360"/>
        <item x="354"/>
        <item x="143"/>
        <item x="325"/>
        <item x="270"/>
        <item x="22"/>
        <item x="161"/>
        <item x="84"/>
        <item x="375"/>
        <item x="381"/>
        <item x="377"/>
        <item x="41"/>
        <item x="46"/>
        <item x="499"/>
        <item x="449"/>
        <item x="436"/>
        <item x="31"/>
        <item x="135"/>
        <item x="103"/>
        <item x="368"/>
        <item x="438"/>
        <item x="58"/>
        <item x="471"/>
        <item x="105"/>
        <item x="111"/>
        <item x="314"/>
        <item x="202"/>
        <item x="462"/>
        <item x="442"/>
        <item x="393"/>
        <item x="180"/>
        <item x="137"/>
        <item x="476"/>
        <item x="428"/>
        <item x="474"/>
        <item x="400"/>
        <item x="217"/>
        <item x="359"/>
        <item x="459"/>
        <item x="294"/>
        <item x="10"/>
        <item x="448"/>
        <item x="369"/>
        <item x="188"/>
        <item x="487"/>
        <item x="101"/>
        <item x="388"/>
        <item x="303"/>
        <item x="239"/>
        <item x="76"/>
        <item x="338"/>
        <item x="389"/>
        <item x="373"/>
        <item x="48"/>
        <item x="278"/>
        <item x="55"/>
        <item x="312"/>
        <item x="245"/>
        <item x="112"/>
        <item x="346"/>
        <item x="107"/>
        <item x="110"/>
        <item x="283"/>
        <item x="274"/>
        <item x="447"/>
        <item x="37"/>
        <item x="43"/>
        <item x="87"/>
        <item x="108"/>
        <item x="435"/>
        <item x="198"/>
        <item x="291"/>
        <item x="150"/>
        <item x="28"/>
        <item x="148"/>
        <item x="284"/>
        <item x="318"/>
        <item x="100"/>
        <item x="483"/>
        <item x="79"/>
        <item x="257"/>
        <item x="232"/>
        <item x="320"/>
        <item x="394"/>
        <item x="281"/>
        <item x="300"/>
        <item x="253"/>
        <item x="463"/>
        <item x="349"/>
        <item x="224"/>
        <item x="345"/>
        <item x="390"/>
        <item x="57"/>
        <item x="263"/>
        <item x="182"/>
        <item x="24"/>
        <item x="313"/>
        <item x="364"/>
        <item x="67"/>
        <item x="445"/>
        <item x="432"/>
        <item x="327"/>
        <item x="33"/>
        <item x="0"/>
        <item x="330"/>
        <item x="470"/>
        <item x="272"/>
        <item x="119"/>
        <item x="347"/>
        <item x="311"/>
        <item x="61"/>
        <item x="147"/>
        <item x="276"/>
        <item x="72"/>
        <item x="70"/>
        <item x="297"/>
        <item x="492"/>
        <item x="117"/>
        <item x="467"/>
        <item x="265"/>
        <item x="240"/>
        <item x="85"/>
        <item x="29"/>
        <item x="503"/>
        <item x="507"/>
        <item t="default"/>
      </items>
    </pivotField>
    <pivotField showAll="0">
      <items count="22">
        <item x="9"/>
        <item x="2"/>
        <item x="11"/>
        <item x="16"/>
        <item x="18"/>
        <item x="19"/>
        <item x="3"/>
        <item x="13"/>
        <item x="10"/>
        <item x="5"/>
        <item x="14"/>
        <item x="6"/>
        <item x="12"/>
        <item x="1"/>
        <item x="8"/>
        <item x="17"/>
        <item x="4"/>
        <item x="7"/>
        <item x="0"/>
        <item x="15"/>
        <item x="20"/>
        <item t="default"/>
      </items>
    </pivotField>
    <pivotField showAll="0">
      <items count="10">
        <item x="3"/>
        <item x="5"/>
        <item x="1"/>
        <item x="0"/>
        <item x="4"/>
        <item x="6"/>
        <item x="7"/>
        <item x="2"/>
        <item x="8"/>
        <item t="default"/>
      </items>
    </pivotField>
    <pivotField showAll="0"/>
    <pivotField showAll="0"/>
    <pivotField dataField="1" showAll="0"/>
    <pivotField showAll="0"/>
    <pivotField showAll="0">
      <items count="7">
        <item x="3"/>
        <item x="0"/>
        <item x="4"/>
        <item x="2"/>
        <item x="1"/>
        <item x="5"/>
        <item t="default"/>
      </items>
    </pivotField>
    <pivotField showAll="0"/>
  </pivotFields>
  <rowFields count="1">
    <field x="0"/>
  </rowFields>
  <rowItems count="5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t="grand">
      <x/>
    </i>
  </rowItems>
  <colItems count="1">
    <i/>
  </colItems>
  <dataFields count="1">
    <dataField name="Sum of Total Sale" fld="5" baseField="0" baseItem="0"/>
  </dataField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3"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axis="axisRow" showAll="0">
      <items count="10">
        <item x="3"/>
        <item x="5"/>
        <item x="1"/>
        <item x="0"/>
        <item x="4"/>
        <item x="6"/>
        <item x="7"/>
        <item x="2"/>
        <item x="8"/>
        <item t="default"/>
      </items>
    </pivotField>
    <pivotField showAll="0"/>
    <pivotField showAll="0"/>
    <pivotField dataField="1" showAll="0"/>
    <pivotField showAll="0"/>
    <pivotField showAll="0">
      <items count="7">
        <item x="3"/>
        <item x="0"/>
        <item x="4"/>
        <item x="2"/>
        <item x="1"/>
        <item x="5"/>
        <item t="default"/>
      </items>
    </pivotField>
    <pivotField showAll="0"/>
  </pivotFields>
  <rowFields count="1">
    <field x="2"/>
  </rowFields>
  <rowItems count="10">
    <i>
      <x/>
    </i>
    <i>
      <x v="1"/>
    </i>
    <i>
      <x v="2"/>
    </i>
    <i>
      <x v="3"/>
    </i>
    <i>
      <x v="4"/>
    </i>
    <i>
      <x v="5"/>
    </i>
    <i>
      <x v="6"/>
    </i>
    <i>
      <x v="7"/>
    </i>
    <i>
      <x v="8"/>
    </i>
    <i t="grand">
      <x/>
    </i>
  </rowItems>
  <colItems count="1">
    <i/>
  </colItems>
  <dataFields count="1">
    <dataField name="Sum of Total Sale" fld="5" baseField="2"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5"/>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 chart="3" format="20">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607:B629" firstHeaderRow="1" firstDataRow="1" firstDataCol="1"/>
  <pivotFields count="9">
    <pivotField showAll="0"/>
    <pivotField axis="axisRow" showAll="0">
      <items count="22">
        <item x="9"/>
        <item x="2"/>
        <item x="11"/>
        <item x="16"/>
        <item x="18"/>
        <item x="19"/>
        <item x="3"/>
        <item x="13"/>
        <item x="10"/>
        <item x="5"/>
        <item x="14"/>
        <item x="6"/>
        <item x="12"/>
        <item x="1"/>
        <item x="8"/>
        <item x="17"/>
        <item x="4"/>
        <item x="7"/>
        <item x="0"/>
        <item x="15"/>
        <item x="20"/>
        <item t="default"/>
      </items>
    </pivotField>
    <pivotField showAll="0">
      <items count="10">
        <item x="3"/>
        <item x="5"/>
        <item x="1"/>
        <item x="0"/>
        <item x="4"/>
        <item x="6"/>
        <item x="7"/>
        <item x="2"/>
        <item x="8"/>
        <item t="default"/>
      </items>
    </pivotField>
    <pivotField showAll="0"/>
    <pivotField showAll="0"/>
    <pivotField dataField="1" showAll="0"/>
    <pivotField showAll="0"/>
    <pivotField showAll="0">
      <items count="7">
        <item x="3"/>
        <item x="0"/>
        <item x="4"/>
        <item x="2"/>
        <item x="1"/>
        <item x="5"/>
        <item t="default"/>
      </items>
    </pivotField>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Total Sale" fld="5" subtotal="average" baseField="1" baseItem="0"/>
  </dataFields>
  <chartFormats count="2">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651:B658" firstHeaderRow="1" firstDataRow="1" firstDataCol="1"/>
  <pivotFields count="9">
    <pivotField showAll="0"/>
    <pivotField showAll="0">
      <items count="22">
        <item x="9"/>
        <item x="2"/>
        <item x="11"/>
        <item x="16"/>
        <item x="18"/>
        <item x="19"/>
        <item x="3"/>
        <item x="13"/>
        <item x="10"/>
        <item x="5"/>
        <item x="14"/>
        <item x="6"/>
        <item x="12"/>
        <item x="1"/>
        <item x="8"/>
        <item x="17"/>
        <item x="4"/>
        <item x="7"/>
        <item x="0"/>
        <item x="15"/>
        <item x="20"/>
        <item t="default"/>
      </items>
    </pivotField>
    <pivotField showAll="0">
      <items count="10">
        <item x="3"/>
        <item x="5"/>
        <item x="1"/>
        <item x="0"/>
        <item x="4"/>
        <item x="6"/>
        <item x="7"/>
        <item x="2"/>
        <item x="8"/>
        <item t="default"/>
      </items>
    </pivotField>
    <pivotField showAll="0"/>
    <pivotField showAll="0"/>
    <pivotField dataField="1" showAll="0"/>
    <pivotField showAll="0"/>
    <pivotField axis="axisRow" showAll="0">
      <items count="7">
        <item x="3"/>
        <item x="0"/>
        <item x="4"/>
        <item x="2"/>
        <item x="1"/>
        <item x="5"/>
        <item t="default"/>
      </items>
    </pivotField>
    <pivotField showAll="0"/>
  </pivotFields>
  <rowFields count="1">
    <field x="7"/>
  </rowFields>
  <rowItems count="7">
    <i>
      <x/>
    </i>
    <i>
      <x v="1"/>
    </i>
    <i>
      <x v="2"/>
    </i>
    <i>
      <x v="3"/>
    </i>
    <i>
      <x v="4"/>
    </i>
    <i>
      <x v="5"/>
    </i>
    <i t="grand">
      <x/>
    </i>
  </rowItems>
  <colItems count="1">
    <i/>
  </colItems>
  <dataFields count="1">
    <dataField name="Sum of Total Sale" fld="5" baseField="7" baseItem="0"/>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3"/>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7" count="1" selected="0">
            <x v="0"/>
          </reference>
        </references>
      </pivotArea>
    </chartFormat>
    <chartFormat chart="6" format="5">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7" name="PivotTable9"/>
    <pivotTable tabId="7" name="PivotTable1"/>
    <pivotTable tabId="7" name="PivotTable10"/>
    <pivotTable tabId="7" name="PivotTable2"/>
    <pivotTable tabId="7" name="PivotTable3"/>
    <pivotTable tabId="7" name="PivotTable5"/>
    <pivotTable tabId="7" name="PivotTable6"/>
    <pivotTable tabId="7" name="PivotTable7"/>
    <pivotTable tabId="7" name="PivotTable8"/>
  </pivotTables>
  <data>
    <tabular pivotCacheId="1">
      <items count="21">
        <i x="9" s="1"/>
        <i x="2" s="1"/>
        <i x="11" s="1"/>
        <i x="16" s="1"/>
        <i x="18" s="1"/>
        <i x="19" s="1"/>
        <i x="3" s="1"/>
        <i x="13" s="1"/>
        <i x="10" s="1"/>
        <i x="5" s="1"/>
        <i x="14" s="1"/>
        <i x="6" s="1"/>
        <i x="12" s="1"/>
        <i x="1" s="1"/>
        <i x="8" s="1"/>
        <i x="17" s="1"/>
        <i x="4" s="1"/>
        <i x="7" s="1"/>
        <i x="0" s="1"/>
        <i x="15"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9"/>
    <pivotTable tabId="7" name="PivotTable1"/>
    <pivotTable tabId="7" name="PivotTable10"/>
    <pivotTable tabId="7" name="PivotTable2"/>
    <pivotTable tabId="7" name="PivotTable3"/>
    <pivotTable tabId="7" name="PivotTable5"/>
    <pivotTable tabId="7" name="PivotTable6"/>
    <pivotTable tabId="7" name="PivotTable7"/>
    <pivotTable tabId="7" name="PivotTable8"/>
  </pivotTables>
  <data>
    <tabular pivotCacheId="1">
      <items count="9">
        <i x="3" s="1"/>
        <i x="5" s="1"/>
        <i x="1" s="1"/>
        <i x="0" s="1"/>
        <i x="4" s="1"/>
        <i x="6" s="1"/>
        <i x="7" s="1"/>
        <i x="2"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7" name="PivotTable9"/>
    <pivotTable tabId="7" name="PivotTable1"/>
    <pivotTable tabId="7" name="PivotTable10"/>
    <pivotTable tabId="7" name="PivotTable2"/>
    <pivotTable tabId="7" name="PivotTable3"/>
    <pivotTable tabId="7" name="PivotTable5"/>
    <pivotTable tabId="7" name="PivotTable6"/>
    <pivotTable tabId="7" name="PivotTable7"/>
    <pivotTable tabId="7" name="PivotTable8"/>
  </pivotTables>
  <data>
    <tabular pivotCacheId="1">
      <items count="6">
        <i x="3" s="1"/>
        <i x="0" s="1"/>
        <i x="4" s="1"/>
        <i x="2"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columnCount="3" rowHeight="234950"/>
  <slicer name="Product" cache="Slicer_Product" caption="Product" columnCount="3" rowHeight="234950"/>
  <slicer name="Sales Channel" cache="Slicer_Sales_Channel" caption="Sales Channel" columnCount="3" rowHeight="234950"/>
</slicers>
</file>

<file path=xl/tables/table1.xml><?xml version="1.0" encoding="utf-8"?>
<table xmlns="http://schemas.openxmlformats.org/spreadsheetml/2006/main" id="1" name="Table1" displayName="Table1" ref="A1:I551" totalsRowShown="0" headerRowDxfId="12" headerRowBorderDxfId="11" tableBorderDxfId="10" totalsRowBorderDxfId="9">
  <autoFilter ref="A1:I551"/>
  <tableColumns count="9">
    <tableColumn id="1" name="Customer Name" dataDxfId="8"/>
    <tableColumn id="2" name="State" dataDxfId="7"/>
    <tableColumn id="3" name="Product" dataDxfId="6"/>
    <tableColumn id="4" name="Units Sold" dataDxfId="5"/>
    <tableColumn id="5" name="Unit Price" dataDxfId="4"/>
    <tableColumn id="6" name="Total Sale" dataDxfId="3"/>
    <tableColumn id="7" name="Sale Date" dataDxfId="2"/>
    <tableColumn id="8" name="Sales Channel" dataDxfId="1"/>
    <tableColumn id="9" name="Order ID"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1"/>
  <sheetViews>
    <sheetView workbookViewId="0">
      <selection activeCell="N4" sqref="N4"/>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B2" t="s">
        <v>9</v>
      </c>
      <c r="C2" t="s">
        <v>10</v>
      </c>
      <c r="G2" s="1">
        <v>45774</v>
      </c>
      <c r="H2" t="s">
        <v>11</v>
      </c>
    </row>
    <row r="3" spans="1:9" x14ac:dyDescent="0.3">
      <c r="A3" t="s">
        <v>12</v>
      </c>
      <c r="B3" t="s">
        <v>13</v>
      </c>
      <c r="C3" t="s">
        <v>14</v>
      </c>
      <c r="E3">
        <v>267992.94</v>
      </c>
      <c r="G3" s="1">
        <v>45366</v>
      </c>
      <c r="H3" t="s">
        <v>15</v>
      </c>
      <c r="I3" t="s">
        <v>16</v>
      </c>
    </row>
    <row r="4" spans="1:9" x14ac:dyDescent="0.3">
      <c r="A4" t="s">
        <v>17</v>
      </c>
      <c r="B4" t="s">
        <v>18</v>
      </c>
      <c r="C4" t="s">
        <v>19</v>
      </c>
      <c r="E4">
        <v>42364.41</v>
      </c>
      <c r="G4" s="1">
        <v>45636</v>
      </c>
      <c r="I4" t="s">
        <v>20</v>
      </c>
    </row>
    <row r="5" spans="1:9" x14ac:dyDescent="0.3">
      <c r="A5" t="s">
        <v>21</v>
      </c>
      <c r="B5" t="s">
        <v>22</v>
      </c>
      <c r="C5" t="s">
        <v>19</v>
      </c>
      <c r="E5">
        <v>279444.94</v>
      </c>
      <c r="G5" s="1">
        <v>45387</v>
      </c>
      <c r="I5" t="s">
        <v>23</v>
      </c>
    </row>
    <row r="6" spans="1:9" x14ac:dyDescent="0.3">
      <c r="A6" t="s">
        <v>24</v>
      </c>
      <c r="B6" t="s">
        <v>22</v>
      </c>
      <c r="C6" t="s">
        <v>25</v>
      </c>
      <c r="E6">
        <v>95899.74</v>
      </c>
      <c r="G6" s="1">
        <v>45669</v>
      </c>
      <c r="I6" t="s">
        <v>26</v>
      </c>
    </row>
    <row r="7" spans="1:9" x14ac:dyDescent="0.3">
      <c r="A7" t="s">
        <v>27</v>
      </c>
      <c r="B7" t="s">
        <v>28</v>
      </c>
      <c r="C7" t="s">
        <v>29</v>
      </c>
      <c r="E7">
        <v>118189.9</v>
      </c>
      <c r="G7" s="1">
        <v>45168</v>
      </c>
      <c r="H7" t="s">
        <v>30</v>
      </c>
      <c r="I7" t="s">
        <v>31</v>
      </c>
    </row>
    <row r="8" spans="1:9" x14ac:dyDescent="0.3">
      <c r="A8" t="s">
        <v>32</v>
      </c>
      <c r="B8" t="s">
        <v>33</v>
      </c>
      <c r="C8" t="s">
        <v>25</v>
      </c>
      <c r="D8">
        <v>36</v>
      </c>
      <c r="E8">
        <v>185141.9</v>
      </c>
      <c r="F8">
        <v>6665108.4000000004</v>
      </c>
      <c r="G8" s="1">
        <v>45545</v>
      </c>
      <c r="H8" t="s">
        <v>15</v>
      </c>
      <c r="I8" t="s">
        <v>34</v>
      </c>
    </row>
    <row r="9" spans="1:9" x14ac:dyDescent="0.3">
      <c r="A9" t="s">
        <v>35</v>
      </c>
      <c r="B9" t="s">
        <v>36</v>
      </c>
      <c r="C9" t="s">
        <v>19</v>
      </c>
      <c r="E9">
        <v>252859.28</v>
      </c>
      <c r="G9" s="1">
        <v>45539</v>
      </c>
      <c r="H9" t="s">
        <v>11</v>
      </c>
      <c r="I9" t="s">
        <v>37</v>
      </c>
    </row>
    <row r="10" spans="1:9" x14ac:dyDescent="0.3">
      <c r="A10" t="s">
        <v>38</v>
      </c>
      <c r="B10" t="s">
        <v>39</v>
      </c>
      <c r="C10" t="s">
        <v>40</v>
      </c>
      <c r="E10">
        <v>178320.53</v>
      </c>
      <c r="G10" s="1">
        <v>45343</v>
      </c>
      <c r="H10" t="s">
        <v>15</v>
      </c>
      <c r="I10" t="s">
        <v>41</v>
      </c>
    </row>
    <row r="11" spans="1:9" x14ac:dyDescent="0.3">
      <c r="A11" t="s">
        <v>42</v>
      </c>
      <c r="B11" t="s">
        <v>43</v>
      </c>
      <c r="C11" t="s">
        <v>25</v>
      </c>
      <c r="E11">
        <v>152440.84</v>
      </c>
      <c r="G11" s="1">
        <v>45810</v>
      </c>
      <c r="H11" t="s">
        <v>30</v>
      </c>
      <c r="I11" t="s">
        <v>44</v>
      </c>
    </row>
    <row r="12" spans="1:9" x14ac:dyDescent="0.3">
      <c r="A12" t="s">
        <v>45</v>
      </c>
      <c r="B12" t="s">
        <v>46</v>
      </c>
      <c r="C12" t="s">
        <v>19</v>
      </c>
      <c r="G12" s="1">
        <v>45350</v>
      </c>
      <c r="H12" t="s">
        <v>30</v>
      </c>
      <c r="I12" t="s">
        <v>47</v>
      </c>
    </row>
    <row r="13" spans="1:9" x14ac:dyDescent="0.3">
      <c r="A13" t="s">
        <v>48</v>
      </c>
      <c r="B13" t="s">
        <v>49</v>
      </c>
      <c r="C13" t="s">
        <v>50</v>
      </c>
      <c r="D13">
        <v>3</v>
      </c>
      <c r="E13">
        <v>153159.37</v>
      </c>
      <c r="F13">
        <v>459478.11</v>
      </c>
      <c r="G13" s="1">
        <v>45779</v>
      </c>
      <c r="H13" t="s">
        <v>51</v>
      </c>
      <c r="I13" t="s">
        <v>52</v>
      </c>
    </row>
    <row r="14" spans="1:9" x14ac:dyDescent="0.3">
      <c r="A14" t="s">
        <v>53</v>
      </c>
      <c r="B14" t="s">
        <v>13</v>
      </c>
      <c r="C14" t="s">
        <v>25</v>
      </c>
      <c r="D14">
        <v>43</v>
      </c>
      <c r="E14">
        <v>147209.07</v>
      </c>
      <c r="F14">
        <v>6329990.0099999998</v>
      </c>
      <c r="G14" s="1">
        <v>45240</v>
      </c>
      <c r="H14" t="s">
        <v>15</v>
      </c>
      <c r="I14" t="s">
        <v>54</v>
      </c>
    </row>
    <row r="15" spans="1:9" x14ac:dyDescent="0.3">
      <c r="B15" t="s">
        <v>39</v>
      </c>
      <c r="C15" t="s">
        <v>29</v>
      </c>
      <c r="E15">
        <v>169095.82</v>
      </c>
      <c r="G15" s="1">
        <v>45670</v>
      </c>
      <c r="I15" t="s">
        <v>55</v>
      </c>
    </row>
    <row r="16" spans="1:9" x14ac:dyDescent="0.3">
      <c r="A16" t="s">
        <v>56</v>
      </c>
      <c r="B16" t="s">
        <v>57</v>
      </c>
      <c r="C16" t="s">
        <v>25</v>
      </c>
      <c r="D16">
        <v>27</v>
      </c>
      <c r="E16">
        <v>142730.32999999999</v>
      </c>
      <c r="F16">
        <v>3853718.91</v>
      </c>
      <c r="G16" s="1">
        <v>45669</v>
      </c>
      <c r="H16" t="s">
        <v>30</v>
      </c>
    </row>
    <row r="17" spans="1:9" x14ac:dyDescent="0.3">
      <c r="A17" t="s">
        <v>58</v>
      </c>
      <c r="B17" t="s">
        <v>22</v>
      </c>
      <c r="C17" t="s">
        <v>59</v>
      </c>
      <c r="E17">
        <v>5482.77</v>
      </c>
      <c r="G17" s="1">
        <v>45838</v>
      </c>
      <c r="H17" t="s">
        <v>30</v>
      </c>
      <c r="I17" t="s">
        <v>60</v>
      </c>
    </row>
    <row r="18" spans="1:9" x14ac:dyDescent="0.3">
      <c r="A18" t="s">
        <v>61</v>
      </c>
      <c r="B18" t="s">
        <v>62</v>
      </c>
      <c r="C18" t="s">
        <v>63</v>
      </c>
      <c r="E18">
        <v>99706.26</v>
      </c>
      <c r="G18" s="1">
        <v>45661</v>
      </c>
      <c r="H18" t="s">
        <v>51</v>
      </c>
      <c r="I18" t="s">
        <v>64</v>
      </c>
    </row>
    <row r="19" spans="1:9" x14ac:dyDescent="0.3">
      <c r="A19" t="s">
        <v>65</v>
      </c>
      <c r="B19" t="s">
        <v>66</v>
      </c>
      <c r="C19" t="s">
        <v>50</v>
      </c>
      <c r="D19">
        <v>28</v>
      </c>
      <c r="E19">
        <v>33326.57</v>
      </c>
      <c r="F19">
        <v>933143.96</v>
      </c>
      <c r="G19" s="1">
        <v>45613</v>
      </c>
      <c r="I19" t="s">
        <v>67</v>
      </c>
    </row>
    <row r="20" spans="1:9" x14ac:dyDescent="0.3">
      <c r="A20" t="s">
        <v>68</v>
      </c>
      <c r="B20" t="s">
        <v>69</v>
      </c>
      <c r="C20" t="s">
        <v>14</v>
      </c>
      <c r="D20">
        <v>43</v>
      </c>
      <c r="E20">
        <v>125253.81</v>
      </c>
      <c r="F20">
        <v>5385913.8300000001</v>
      </c>
      <c r="G20" s="1">
        <v>45253</v>
      </c>
      <c r="H20" t="s">
        <v>30</v>
      </c>
      <c r="I20" t="s">
        <v>70</v>
      </c>
    </row>
    <row r="21" spans="1:9" x14ac:dyDescent="0.3">
      <c r="A21" t="s">
        <v>71</v>
      </c>
      <c r="B21" t="s">
        <v>36</v>
      </c>
      <c r="C21" t="s">
        <v>14</v>
      </c>
      <c r="D21">
        <v>77</v>
      </c>
      <c r="E21">
        <v>92649.51</v>
      </c>
      <c r="F21">
        <v>7134012.2699999996</v>
      </c>
      <c r="G21" s="1">
        <v>45734</v>
      </c>
      <c r="H21" t="s">
        <v>11</v>
      </c>
      <c r="I21" t="s">
        <v>72</v>
      </c>
    </row>
    <row r="22" spans="1:9" x14ac:dyDescent="0.3">
      <c r="A22" t="s">
        <v>73</v>
      </c>
      <c r="B22" t="s">
        <v>57</v>
      </c>
      <c r="C22" t="s">
        <v>29</v>
      </c>
      <c r="D22">
        <v>36</v>
      </c>
      <c r="G22" s="1">
        <v>45398</v>
      </c>
      <c r="I22" t="s">
        <v>74</v>
      </c>
    </row>
    <row r="23" spans="1:9" x14ac:dyDescent="0.3">
      <c r="A23" t="s">
        <v>75</v>
      </c>
      <c r="B23" t="s">
        <v>36</v>
      </c>
      <c r="C23" t="s">
        <v>76</v>
      </c>
      <c r="E23">
        <v>269680.75</v>
      </c>
      <c r="G23" s="1">
        <v>45513</v>
      </c>
      <c r="H23" t="s">
        <v>15</v>
      </c>
      <c r="I23" t="s">
        <v>77</v>
      </c>
    </row>
    <row r="24" spans="1:9" x14ac:dyDescent="0.3">
      <c r="A24" t="s">
        <v>78</v>
      </c>
      <c r="B24" t="s">
        <v>46</v>
      </c>
      <c r="C24" t="s">
        <v>14</v>
      </c>
      <c r="D24">
        <v>33</v>
      </c>
      <c r="E24">
        <v>261693.68</v>
      </c>
      <c r="F24">
        <v>8635891.4399999995</v>
      </c>
      <c r="G24" s="1">
        <v>45292</v>
      </c>
      <c r="H24" t="s">
        <v>51</v>
      </c>
      <c r="I24" t="s">
        <v>79</v>
      </c>
    </row>
    <row r="25" spans="1:9" x14ac:dyDescent="0.3">
      <c r="A25" t="s">
        <v>80</v>
      </c>
      <c r="B25" t="s">
        <v>22</v>
      </c>
      <c r="C25" t="s">
        <v>29</v>
      </c>
      <c r="E25">
        <v>188963.51</v>
      </c>
      <c r="G25" s="1">
        <v>45212</v>
      </c>
      <c r="H25" t="s">
        <v>11</v>
      </c>
      <c r="I25" t="s">
        <v>81</v>
      </c>
    </row>
    <row r="26" spans="1:9" x14ac:dyDescent="0.3">
      <c r="A26" t="s">
        <v>82</v>
      </c>
      <c r="B26" t="s">
        <v>83</v>
      </c>
      <c r="C26" t="s">
        <v>84</v>
      </c>
      <c r="D26">
        <v>4</v>
      </c>
      <c r="E26">
        <v>179274.43</v>
      </c>
      <c r="F26">
        <v>717097.72</v>
      </c>
      <c r="G26" s="1">
        <v>45274</v>
      </c>
      <c r="H26" t="s">
        <v>11</v>
      </c>
      <c r="I26" t="s">
        <v>85</v>
      </c>
    </row>
    <row r="27" spans="1:9" x14ac:dyDescent="0.3">
      <c r="A27" t="s">
        <v>86</v>
      </c>
      <c r="B27" t="s">
        <v>87</v>
      </c>
      <c r="C27" t="s">
        <v>76</v>
      </c>
      <c r="E27">
        <v>80026.37</v>
      </c>
      <c r="G27" s="1">
        <v>45733</v>
      </c>
      <c r="H27" t="s">
        <v>15</v>
      </c>
      <c r="I27" t="s">
        <v>88</v>
      </c>
    </row>
    <row r="28" spans="1:9" x14ac:dyDescent="0.3">
      <c r="B28" t="s">
        <v>18</v>
      </c>
      <c r="C28" t="s">
        <v>76</v>
      </c>
      <c r="E28">
        <v>196849.5</v>
      </c>
      <c r="G28" s="1">
        <v>45225</v>
      </c>
      <c r="H28" t="s">
        <v>51</v>
      </c>
      <c r="I28" t="s">
        <v>89</v>
      </c>
    </row>
    <row r="29" spans="1:9" x14ac:dyDescent="0.3">
      <c r="A29" t="s">
        <v>90</v>
      </c>
      <c r="B29" t="s">
        <v>69</v>
      </c>
      <c r="C29" t="s">
        <v>59</v>
      </c>
      <c r="D29">
        <v>42</v>
      </c>
      <c r="E29">
        <v>291631.03000000003</v>
      </c>
      <c r="F29">
        <v>12248503.26</v>
      </c>
      <c r="G29" s="1">
        <v>45301</v>
      </c>
      <c r="H29" t="s">
        <v>30</v>
      </c>
      <c r="I29" t="s">
        <v>91</v>
      </c>
    </row>
    <row r="30" spans="1:9" x14ac:dyDescent="0.3">
      <c r="A30" t="s">
        <v>92</v>
      </c>
      <c r="B30" t="s">
        <v>93</v>
      </c>
      <c r="C30" t="s">
        <v>19</v>
      </c>
      <c r="E30">
        <v>173753.06</v>
      </c>
      <c r="G30" s="1">
        <v>45731</v>
      </c>
      <c r="H30" t="s">
        <v>51</v>
      </c>
    </row>
    <row r="31" spans="1:9" x14ac:dyDescent="0.3">
      <c r="A31" t="s">
        <v>94</v>
      </c>
      <c r="B31" t="s">
        <v>46</v>
      </c>
      <c r="C31" t="s">
        <v>76</v>
      </c>
      <c r="D31">
        <v>7</v>
      </c>
      <c r="E31">
        <v>68649.2</v>
      </c>
      <c r="F31">
        <v>480544.4</v>
      </c>
      <c r="G31" s="1">
        <v>45501</v>
      </c>
      <c r="H31" t="s">
        <v>30</v>
      </c>
      <c r="I31" t="s">
        <v>95</v>
      </c>
    </row>
    <row r="32" spans="1:9" x14ac:dyDescent="0.3">
      <c r="A32" t="s">
        <v>96</v>
      </c>
      <c r="B32" t="s">
        <v>97</v>
      </c>
      <c r="C32" t="s">
        <v>98</v>
      </c>
      <c r="G32" s="1">
        <v>45138</v>
      </c>
      <c r="H32" t="s">
        <v>15</v>
      </c>
      <c r="I32" t="s">
        <v>99</v>
      </c>
    </row>
    <row r="33" spans="1:9" x14ac:dyDescent="0.3">
      <c r="A33" t="s">
        <v>100</v>
      </c>
      <c r="B33" t="s">
        <v>18</v>
      </c>
      <c r="C33" t="s">
        <v>29</v>
      </c>
      <c r="D33">
        <v>68</v>
      </c>
      <c r="E33">
        <v>15880.87</v>
      </c>
      <c r="F33">
        <v>1079899.1599999999</v>
      </c>
      <c r="G33" s="1">
        <v>45398</v>
      </c>
      <c r="H33" t="s">
        <v>15</v>
      </c>
      <c r="I33" t="s">
        <v>101</v>
      </c>
    </row>
    <row r="34" spans="1:9" x14ac:dyDescent="0.3">
      <c r="A34" t="s">
        <v>102</v>
      </c>
      <c r="B34" t="s">
        <v>28</v>
      </c>
      <c r="C34" t="s">
        <v>103</v>
      </c>
      <c r="D34">
        <v>96</v>
      </c>
      <c r="E34">
        <v>144394.41</v>
      </c>
      <c r="F34">
        <v>13861863.359999999</v>
      </c>
      <c r="G34" s="1">
        <v>45548</v>
      </c>
      <c r="H34" t="s">
        <v>11</v>
      </c>
      <c r="I34" t="s">
        <v>104</v>
      </c>
    </row>
    <row r="35" spans="1:9" x14ac:dyDescent="0.3">
      <c r="A35" t="s">
        <v>105</v>
      </c>
      <c r="B35" t="s">
        <v>57</v>
      </c>
      <c r="C35" t="s">
        <v>76</v>
      </c>
      <c r="E35">
        <v>157507.57999999999</v>
      </c>
      <c r="G35" s="1">
        <v>45562</v>
      </c>
      <c r="H35" t="s">
        <v>11</v>
      </c>
      <c r="I35" t="s">
        <v>106</v>
      </c>
    </row>
    <row r="36" spans="1:9" x14ac:dyDescent="0.3">
      <c r="A36" t="s">
        <v>107</v>
      </c>
      <c r="B36" t="s">
        <v>97</v>
      </c>
      <c r="C36" t="s">
        <v>98</v>
      </c>
      <c r="E36">
        <v>216494.26</v>
      </c>
      <c r="G36" s="1">
        <v>45404</v>
      </c>
      <c r="H36" t="s">
        <v>11</v>
      </c>
      <c r="I36" t="s">
        <v>108</v>
      </c>
    </row>
    <row r="37" spans="1:9" x14ac:dyDescent="0.3">
      <c r="A37" t="s">
        <v>109</v>
      </c>
      <c r="B37" t="s">
        <v>33</v>
      </c>
      <c r="C37" t="s">
        <v>76</v>
      </c>
      <c r="E37">
        <v>232494.54</v>
      </c>
      <c r="G37" s="1">
        <v>45481</v>
      </c>
      <c r="H37" t="s">
        <v>15</v>
      </c>
      <c r="I37" t="s">
        <v>110</v>
      </c>
    </row>
    <row r="38" spans="1:9" x14ac:dyDescent="0.3">
      <c r="A38" t="s">
        <v>111</v>
      </c>
      <c r="B38" t="s">
        <v>112</v>
      </c>
      <c r="C38" t="s">
        <v>19</v>
      </c>
      <c r="E38">
        <v>114367.01</v>
      </c>
      <c r="G38" s="1">
        <v>45742</v>
      </c>
      <c r="H38" t="s">
        <v>30</v>
      </c>
      <c r="I38" t="s">
        <v>113</v>
      </c>
    </row>
    <row r="39" spans="1:9" x14ac:dyDescent="0.3">
      <c r="A39" t="s">
        <v>114</v>
      </c>
      <c r="B39" t="s">
        <v>115</v>
      </c>
      <c r="C39" t="s">
        <v>98</v>
      </c>
      <c r="D39">
        <v>65</v>
      </c>
      <c r="E39">
        <v>246587.56</v>
      </c>
      <c r="F39">
        <v>16028191.4</v>
      </c>
      <c r="G39" s="1">
        <v>45546</v>
      </c>
      <c r="H39" t="s">
        <v>15</v>
      </c>
      <c r="I39" t="s">
        <v>116</v>
      </c>
    </row>
    <row r="40" spans="1:9" x14ac:dyDescent="0.3">
      <c r="A40" t="s">
        <v>117</v>
      </c>
      <c r="B40" t="s">
        <v>33</v>
      </c>
      <c r="C40" t="s">
        <v>59</v>
      </c>
      <c r="D40">
        <v>79</v>
      </c>
      <c r="E40">
        <v>73037.87</v>
      </c>
      <c r="F40">
        <v>5769991.7300000004</v>
      </c>
      <c r="G40" s="1">
        <v>45218</v>
      </c>
      <c r="H40" t="s">
        <v>15</v>
      </c>
      <c r="I40" t="s">
        <v>118</v>
      </c>
    </row>
    <row r="41" spans="1:9" x14ac:dyDescent="0.3">
      <c r="B41" t="s">
        <v>119</v>
      </c>
      <c r="C41" t="s">
        <v>25</v>
      </c>
      <c r="E41">
        <v>171984.8</v>
      </c>
      <c r="G41" s="1">
        <v>45593</v>
      </c>
      <c r="H41" t="s">
        <v>11</v>
      </c>
      <c r="I41" t="s">
        <v>120</v>
      </c>
    </row>
    <row r="42" spans="1:9" x14ac:dyDescent="0.3">
      <c r="A42" t="s">
        <v>121</v>
      </c>
      <c r="B42" t="s">
        <v>119</v>
      </c>
      <c r="C42" t="s">
        <v>103</v>
      </c>
      <c r="G42" s="1">
        <v>45804</v>
      </c>
      <c r="H42" t="s">
        <v>51</v>
      </c>
      <c r="I42" t="s">
        <v>122</v>
      </c>
    </row>
    <row r="43" spans="1:9" x14ac:dyDescent="0.3">
      <c r="A43" t="s">
        <v>123</v>
      </c>
      <c r="B43" t="s">
        <v>66</v>
      </c>
      <c r="C43" t="s">
        <v>76</v>
      </c>
      <c r="E43">
        <v>210306.01</v>
      </c>
      <c r="G43" s="1">
        <v>45184</v>
      </c>
      <c r="H43" t="s">
        <v>11</v>
      </c>
      <c r="I43" t="s">
        <v>124</v>
      </c>
    </row>
    <row r="44" spans="1:9" x14ac:dyDescent="0.3">
      <c r="A44" t="s">
        <v>125</v>
      </c>
      <c r="B44" t="s">
        <v>18</v>
      </c>
      <c r="C44" t="s">
        <v>29</v>
      </c>
      <c r="D44">
        <v>4</v>
      </c>
      <c r="E44">
        <v>57639.91</v>
      </c>
      <c r="F44">
        <v>230559.64</v>
      </c>
      <c r="G44" s="1">
        <v>45169</v>
      </c>
      <c r="H44" t="s">
        <v>51</v>
      </c>
    </row>
    <row r="45" spans="1:9" x14ac:dyDescent="0.3">
      <c r="A45" t="s">
        <v>126</v>
      </c>
      <c r="B45" t="s">
        <v>49</v>
      </c>
      <c r="C45" t="s">
        <v>19</v>
      </c>
      <c r="E45">
        <v>132591.04999999999</v>
      </c>
      <c r="G45" s="1">
        <v>45358</v>
      </c>
      <c r="H45" t="s">
        <v>30</v>
      </c>
      <c r="I45" t="s">
        <v>127</v>
      </c>
    </row>
    <row r="46" spans="1:9" x14ac:dyDescent="0.3">
      <c r="A46" t="s">
        <v>128</v>
      </c>
      <c r="B46" t="s">
        <v>83</v>
      </c>
      <c r="C46" t="s">
        <v>29</v>
      </c>
      <c r="E46">
        <v>125924.7</v>
      </c>
      <c r="G46" s="1">
        <v>45427</v>
      </c>
      <c r="H46" t="s">
        <v>30</v>
      </c>
      <c r="I46" t="s">
        <v>129</v>
      </c>
    </row>
    <row r="47" spans="1:9" x14ac:dyDescent="0.3">
      <c r="A47" t="s">
        <v>130</v>
      </c>
      <c r="B47" t="s">
        <v>131</v>
      </c>
      <c r="C47" t="s">
        <v>25</v>
      </c>
      <c r="E47">
        <v>124181.55</v>
      </c>
      <c r="G47" s="1">
        <v>45674</v>
      </c>
      <c r="I47" t="s">
        <v>132</v>
      </c>
    </row>
    <row r="48" spans="1:9" x14ac:dyDescent="0.3">
      <c r="A48" t="s">
        <v>133</v>
      </c>
      <c r="B48" t="s">
        <v>33</v>
      </c>
      <c r="C48" t="s">
        <v>76</v>
      </c>
      <c r="E48">
        <v>61565.56</v>
      </c>
      <c r="G48" s="1">
        <v>45676</v>
      </c>
      <c r="I48" t="s">
        <v>134</v>
      </c>
    </row>
    <row r="49" spans="1:9" x14ac:dyDescent="0.3">
      <c r="A49" t="s">
        <v>135</v>
      </c>
      <c r="B49" t="s">
        <v>115</v>
      </c>
      <c r="C49" t="s">
        <v>19</v>
      </c>
      <c r="D49">
        <v>10</v>
      </c>
      <c r="E49">
        <v>150794.94</v>
      </c>
      <c r="F49">
        <v>1507949.4</v>
      </c>
      <c r="G49" s="1">
        <v>45489</v>
      </c>
      <c r="I49" t="s">
        <v>136</v>
      </c>
    </row>
    <row r="50" spans="1:9" x14ac:dyDescent="0.3">
      <c r="A50" t="s">
        <v>137</v>
      </c>
      <c r="B50" t="s">
        <v>39</v>
      </c>
      <c r="C50" t="s">
        <v>138</v>
      </c>
      <c r="E50">
        <v>183637.68</v>
      </c>
      <c r="G50" s="1">
        <v>45526</v>
      </c>
      <c r="H50" t="s">
        <v>30</v>
      </c>
      <c r="I50" t="s">
        <v>139</v>
      </c>
    </row>
    <row r="51" spans="1:9" x14ac:dyDescent="0.3">
      <c r="A51" t="s">
        <v>140</v>
      </c>
      <c r="B51" t="s">
        <v>36</v>
      </c>
      <c r="C51" t="s">
        <v>76</v>
      </c>
      <c r="D51">
        <v>19</v>
      </c>
      <c r="E51">
        <v>141745.84</v>
      </c>
      <c r="F51">
        <v>2693170.96</v>
      </c>
      <c r="G51" s="1">
        <v>45437</v>
      </c>
      <c r="H51" t="s">
        <v>11</v>
      </c>
      <c r="I51" t="s">
        <v>141</v>
      </c>
    </row>
    <row r="52" spans="1:9" x14ac:dyDescent="0.3">
      <c r="A52" t="s">
        <v>142</v>
      </c>
      <c r="B52" t="s">
        <v>143</v>
      </c>
      <c r="C52" t="s">
        <v>59</v>
      </c>
      <c r="G52" s="1">
        <v>45715</v>
      </c>
      <c r="H52" t="s">
        <v>11</v>
      </c>
      <c r="I52" t="s">
        <v>144</v>
      </c>
    </row>
    <row r="53" spans="1:9" x14ac:dyDescent="0.3">
      <c r="A53" t="s">
        <v>145</v>
      </c>
      <c r="B53" t="s">
        <v>66</v>
      </c>
      <c r="C53" t="s">
        <v>76</v>
      </c>
      <c r="E53">
        <v>254588.91</v>
      </c>
      <c r="G53" s="1">
        <v>45436</v>
      </c>
      <c r="H53" t="s">
        <v>11</v>
      </c>
      <c r="I53" t="s">
        <v>146</v>
      </c>
    </row>
    <row r="54" spans="1:9" x14ac:dyDescent="0.3">
      <c r="B54" t="s">
        <v>119</v>
      </c>
      <c r="C54" t="s">
        <v>14</v>
      </c>
      <c r="E54">
        <v>218356.93</v>
      </c>
      <c r="G54" s="1">
        <v>45757</v>
      </c>
      <c r="H54" t="s">
        <v>15</v>
      </c>
      <c r="I54" t="s">
        <v>147</v>
      </c>
    </row>
    <row r="55" spans="1:9" x14ac:dyDescent="0.3">
      <c r="A55" t="s">
        <v>148</v>
      </c>
      <c r="B55" t="s">
        <v>87</v>
      </c>
      <c r="C55" t="s">
        <v>19</v>
      </c>
      <c r="E55">
        <v>211879.67999999999</v>
      </c>
      <c r="G55" s="1">
        <v>45564</v>
      </c>
      <c r="I55" t="s">
        <v>149</v>
      </c>
    </row>
    <row r="56" spans="1:9" x14ac:dyDescent="0.3">
      <c r="A56" t="s">
        <v>150</v>
      </c>
      <c r="B56" t="s">
        <v>151</v>
      </c>
      <c r="C56" t="s">
        <v>14</v>
      </c>
      <c r="E56">
        <v>155845.62</v>
      </c>
      <c r="G56" s="1">
        <v>45175</v>
      </c>
      <c r="H56" t="s">
        <v>11</v>
      </c>
      <c r="I56" t="s">
        <v>152</v>
      </c>
    </row>
    <row r="57" spans="1:9" x14ac:dyDescent="0.3">
      <c r="A57" t="s">
        <v>153</v>
      </c>
      <c r="B57" t="s">
        <v>39</v>
      </c>
      <c r="C57" t="s">
        <v>98</v>
      </c>
      <c r="E57">
        <v>168485.59</v>
      </c>
      <c r="G57" s="1">
        <v>45215</v>
      </c>
      <c r="I57" t="s">
        <v>154</v>
      </c>
    </row>
    <row r="58" spans="1:9" x14ac:dyDescent="0.3">
      <c r="A58" t="s">
        <v>155</v>
      </c>
      <c r="B58" t="s">
        <v>49</v>
      </c>
      <c r="C58" t="s">
        <v>103</v>
      </c>
      <c r="E58">
        <v>299437.8</v>
      </c>
      <c r="G58" s="1">
        <v>45364</v>
      </c>
    </row>
    <row r="59" spans="1:9" x14ac:dyDescent="0.3">
      <c r="A59" t="s">
        <v>156</v>
      </c>
      <c r="B59" t="s">
        <v>22</v>
      </c>
      <c r="C59" t="s">
        <v>98</v>
      </c>
      <c r="E59">
        <v>143772.10999999999</v>
      </c>
      <c r="G59" s="1">
        <v>45616</v>
      </c>
      <c r="H59" t="s">
        <v>15</v>
      </c>
      <c r="I59" s="2" t="s">
        <v>157</v>
      </c>
    </row>
    <row r="60" spans="1:9" x14ac:dyDescent="0.3">
      <c r="A60" t="s">
        <v>158</v>
      </c>
      <c r="B60" t="s">
        <v>143</v>
      </c>
      <c r="C60" t="s">
        <v>50</v>
      </c>
      <c r="E60">
        <v>113359.02</v>
      </c>
      <c r="G60" s="1">
        <v>45175</v>
      </c>
      <c r="H60" t="s">
        <v>30</v>
      </c>
      <c r="I60" t="s">
        <v>159</v>
      </c>
    </row>
    <row r="61" spans="1:9" x14ac:dyDescent="0.3">
      <c r="A61" t="s">
        <v>160</v>
      </c>
      <c r="B61" t="s">
        <v>39</v>
      </c>
      <c r="C61" t="s">
        <v>76</v>
      </c>
      <c r="E61">
        <v>287027.3</v>
      </c>
      <c r="G61" s="1">
        <v>45467</v>
      </c>
      <c r="H61" t="s">
        <v>11</v>
      </c>
      <c r="I61" t="s">
        <v>161</v>
      </c>
    </row>
    <row r="62" spans="1:9" x14ac:dyDescent="0.3">
      <c r="A62" t="s">
        <v>162</v>
      </c>
      <c r="B62" t="s">
        <v>22</v>
      </c>
      <c r="C62" t="s">
        <v>14</v>
      </c>
      <c r="G62" s="1">
        <v>45479</v>
      </c>
      <c r="H62" t="s">
        <v>15</v>
      </c>
      <c r="I62" t="s">
        <v>163</v>
      </c>
    </row>
    <row r="63" spans="1:9" x14ac:dyDescent="0.3">
      <c r="A63" t="s">
        <v>164</v>
      </c>
      <c r="B63" t="s">
        <v>33</v>
      </c>
      <c r="C63" t="s">
        <v>19</v>
      </c>
      <c r="D63">
        <v>93</v>
      </c>
      <c r="E63">
        <v>138169.23000000001</v>
      </c>
      <c r="F63">
        <v>12849738.390000001</v>
      </c>
      <c r="G63" s="1">
        <v>45646</v>
      </c>
      <c r="H63" t="s">
        <v>30</v>
      </c>
      <c r="I63" t="s">
        <v>165</v>
      </c>
    </row>
    <row r="64" spans="1:9" x14ac:dyDescent="0.3">
      <c r="A64" t="s">
        <v>166</v>
      </c>
      <c r="B64" t="s">
        <v>115</v>
      </c>
      <c r="C64" t="s">
        <v>14</v>
      </c>
      <c r="E64">
        <v>160171.56</v>
      </c>
      <c r="G64" s="1">
        <v>45519</v>
      </c>
      <c r="H64" t="s">
        <v>30</v>
      </c>
      <c r="I64" t="s">
        <v>167</v>
      </c>
    </row>
    <row r="65" spans="1:9" x14ac:dyDescent="0.3">
      <c r="A65" t="s">
        <v>168</v>
      </c>
      <c r="B65" t="s">
        <v>169</v>
      </c>
      <c r="C65" t="s">
        <v>98</v>
      </c>
      <c r="E65">
        <v>164108.82999999999</v>
      </c>
      <c r="G65" s="1">
        <v>45385</v>
      </c>
      <c r="H65" t="s">
        <v>11</v>
      </c>
      <c r="I65" t="s">
        <v>170</v>
      </c>
    </row>
    <row r="66" spans="1:9" x14ac:dyDescent="0.3">
      <c r="A66" t="s">
        <v>171</v>
      </c>
      <c r="B66" t="s">
        <v>83</v>
      </c>
      <c r="C66" t="s">
        <v>172</v>
      </c>
      <c r="E66">
        <v>202922.64</v>
      </c>
      <c r="G66" s="1">
        <v>45217</v>
      </c>
      <c r="I66" t="s">
        <v>173</v>
      </c>
    </row>
    <row r="67" spans="1:9" x14ac:dyDescent="0.3">
      <c r="B67" t="s">
        <v>119</v>
      </c>
      <c r="C67" t="s">
        <v>76</v>
      </c>
      <c r="E67">
        <v>260362.49</v>
      </c>
      <c r="G67" s="1">
        <v>45799</v>
      </c>
      <c r="H67" t="s">
        <v>51</v>
      </c>
      <c r="I67" t="s">
        <v>174</v>
      </c>
    </row>
    <row r="68" spans="1:9" x14ac:dyDescent="0.3">
      <c r="A68" t="s">
        <v>175</v>
      </c>
      <c r="B68" t="s">
        <v>93</v>
      </c>
      <c r="C68" t="s">
        <v>59</v>
      </c>
      <c r="D68">
        <v>94</v>
      </c>
      <c r="E68">
        <v>204383.39</v>
      </c>
      <c r="F68">
        <v>19212038.66</v>
      </c>
      <c r="G68" s="1">
        <v>45761</v>
      </c>
      <c r="I68" t="s">
        <v>176</v>
      </c>
    </row>
    <row r="69" spans="1:9" x14ac:dyDescent="0.3">
      <c r="A69" t="s">
        <v>177</v>
      </c>
      <c r="B69" t="s">
        <v>119</v>
      </c>
      <c r="C69" t="s">
        <v>29</v>
      </c>
      <c r="E69">
        <v>241193.93</v>
      </c>
      <c r="G69" s="1">
        <v>45724</v>
      </c>
      <c r="I69" t="s">
        <v>178</v>
      </c>
    </row>
    <row r="70" spans="1:9" x14ac:dyDescent="0.3">
      <c r="A70" t="s">
        <v>179</v>
      </c>
      <c r="B70" t="s">
        <v>119</v>
      </c>
      <c r="C70" t="s">
        <v>19</v>
      </c>
      <c r="E70">
        <v>79676.47</v>
      </c>
      <c r="G70" s="1">
        <v>45546</v>
      </c>
      <c r="H70" t="s">
        <v>51</v>
      </c>
      <c r="I70" t="s">
        <v>180</v>
      </c>
    </row>
    <row r="71" spans="1:9" x14ac:dyDescent="0.3">
      <c r="A71" t="s">
        <v>181</v>
      </c>
      <c r="B71" t="s">
        <v>57</v>
      </c>
      <c r="C71" t="s">
        <v>59</v>
      </c>
      <c r="E71">
        <v>145511.94</v>
      </c>
      <c r="G71" s="1">
        <v>45614</v>
      </c>
      <c r="H71" t="s">
        <v>30</v>
      </c>
      <c r="I71" t="s">
        <v>182</v>
      </c>
    </row>
    <row r="72" spans="1:9" x14ac:dyDescent="0.3">
      <c r="A72" t="s">
        <v>183</v>
      </c>
      <c r="B72" t="s">
        <v>18</v>
      </c>
      <c r="C72" t="s">
        <v>59</v>
      </c>
      <c r="G72" s="1">
        <v>45574</v>
      </c>
      <c r="H72" t="s">
        <v>51</v>
      </c>
    </row>
    <row r="73" spans="1:9" x14ac:dyDescent="0.3">
      <c r="A73" t="s">
        <v>184</v>
      </c>
      <c r="B73" t="s">
        <v>39</v>
      </c>
      <c r="C73" t="s">
        <v>76</v>
      </c>
      <c r="D73">
        <v>61</v>
      </c>
      <c r="E73">
        <v>287222.55</v>
      </c>
      <c r="F73">
        <v>17520575.550000001</v>
      </c>
      <c r="G73" s="1">
        <v>45259</v>
      </c>
      <c r="H73" t="s">
        <v>51</v>
      </c>
      <c r="I73" t="s">
        <v>185</v>
      </c>
    </row>
    <row r="74" spans="1:9" x14ac:dyDescent="0.3">
      <c r="A74" t="s">
        <v>186</v>
      </c>
      <c r="B74" t="s">
        <v>187</v>
      </c>
      <c r="C74" t="s">
        <v>172</v>
      </c>
      <c r="D74">
        <v>12</v>
      </c>
      <c r="E74">
        <v>84062.42</v>
      </c>
      <c r="F74">
        <v>1008749.04</v>
      </c>
      <c r="G74" s="1">
        <v>45714</v>
      </c>
      <c r="H74" t="s">
        <v>15</v>
      </c>
      <c r="I74" t="s">
        <v>188</v>
      </c>
    </row>
    <row r="75" spans="1:9" x14ac:dyDescent="0.3">
      <c r="A75" t="s">
        <v>189</v>
      </c>
      <c r="B75" t="s">
        <v>93</v>
      </c>
      <c r="C75" t="s">
        <v>76</v>
      </c>
      <c r="E75">
        <v>89900.5</v>
      </c>
      <c r="G75" s="1">
        <v>45218</v>
      </c>
      <c r="H75" t="s">
        <v>15</v>
      </c>
      <c r="I75" t="s">
        <v>190</v>
      </c>
    </row>
    <row r="76" spans="1:9" x14ac:dyDescent="0.3">
      <c r="A76" t="s">
        <v>191</v>
      </c>
      <c r="B76" t="s">
        <v>36</v>
      </c>
      <c r="C76" t="s">
        <v>25</v>
      </c>
      <c r="E76">
        <v>282474.92</v>
      </c>
      <c r="G76" s="1">
        <v>45454</v>
      </c>
      <c r="H76" t="s">
        <v>15</v>
      </c>
      <c r="I76" t="s">
        <v>192</v>
      </c>
    </row>
    <row r="77" spans="1:9" x14ac:dyDescent="0.3">
      <c r="A77" t="s">
        <v>193</v>
      </c>
      <c r="B77" t="s">
        <v>22</v>
      </c>
      <c r="C77" t="s">
        <v>50</v>
      </c>
      <c r="E77">
        <v>294686.96000000002</v>
      </c>
      <c r="G77" s="1">
        <v>45508</v>
      </c>
      <c r="H77" t="s">
        <v>30</v>
      </c>
      <c r="I77" t="s">
        <v>194</v>
      </c>
    </row>
    <row r="78" spans="1:9" x14ac:dyDescent="0.3">
      <c r="A78" t="s">
        <v>195</v>
      </c>
      <c r="B78" t="s">
        <v>93</v>
      </c>
      <c r="C78" t="s">
        <v>19</v>
      </c>
      <c r="E78">
        <v>231466.69</v>
      </c>
      <c r="G78" s="1">
        <v>45825</v>
      </c>
      <c r="H78" t="s">
        <v>51</v>
      </c>
      <c r="I78" t="s">
        <v>196</v>
      </c>
    </row>
    <row r="79" spans="1:9" x14ac:dyDescent="0.3">
      <c r="A79" t="s">
        <v>197</v>
      </c>
      <c r="B79" t="s">
        <v>83</v>
      </c>
      <c r="C79" t="s">
        <v>98</v>
      </c>
      <c r="E79">
        <v>211617.83</v>
      </c>
      <c r="G79" s="1">
        <v>45792</v>
      </c>
      <c r="H79" t="s">
        <v>11</v>
      </c>
      <c r="I79" t="s">
        <v>198</v>
      </c>
    </row>
    <row r="80" spans="1:9" x14ac:dyDescent="0.3">
      <c r="B80" t="s">
        <v>115</v>
      </c>
      <c r="C80" t="s">
        <v>98</v>
      </c>
      <c r="E80">
        <v>207226.85</v>
      </c>
      <c r="G80" s="1">
        <v>45161</v>
      </c>
      <c r="H80" t="s">
        <v>51</v>
      </c>
      <c r="I80" t="s">
        <v>199</v>
      </c>
    </row>
    <row r="81" spans="1:9" x14ac:dyDescent="0.3">
      <c r="A81" t="s">
        <v>200</v>
      </c>
      <c r="B81" t="s">
        <v>18</v>
      </c>
      <c r="C81" t="s">
        <v>59</v>
      </c>
      <c r="E81">
        <v>146956.42000000001</v>
      </c>
      <c r="G81" s="1">
        <v>45763</v>
      </c>
      <c r="H81" t="s">
        <v>30</v>
      </c>
      <c r="I81" t="s">
        <v>201</v>
      </c>
    </row>
    <row r="82" spans="1:9" x14ac:dyDescent="0.3">
      <c r="A82" t="s">
        <v>202</v>
      </c>
      <c r="B82" t="s">
        <v>36</v>
      </c>
      <c r="C82" t="s">
        <v>40</v>
      </c>
      <c r="G82" s="1">
        <v>45214</v>
      </c>
      <c r="H82" t="s">
        <v>15</v>
      </c>
      <c r="I82" t="s">
        <v>203</v>
      </c>
    </row>
    <row r="83" spans="1:9" x14ac:dyDescent="0.3">
      <c r="A83" t="s">
        <v>204</v>
      </c>
      <c r="B83" t="s">
        <v>205</v>
      </c>
      <c r="C83" t="s">
        <v>50</v>
      </c>
      <c r="E83">
        <v>144201.13</v>
      </c>
      <c r="G83" s="1">
        <v>45520</v>
      </c>
      <c r="H83" t="s">
        <v>30</v>
      </c>
      <c r="I83" t="s">
        <v>206</v>
      </c>
    </row>
    <row r="84" spans="1:9" x14ac:dyDescent="0.3">
      <c r="A84" t="s">
        <v>207</v>
      </c>
      <c r="B84" t="s">
        <v>97</v>
      </c>
      <c r="C84" t="s">
        <v>98</v>
      </c>
      <c r="E84">
        <v>168366.03</v>
      </c>
      <c r="G84" s="1">
        <v>45236</v>
      </c>
      <c r="H84" t="s">
        <v>15</v>
      </c>
      <c r="I84" t="s">
        <v>208</v>
      </c>
    </row>
    <row r="85" spans="1:9" x14ac:dyDescent="0.3">
      <c r="A85" t="s">
        <v>209</v>
      </c>
      <c r="B85" t="s">
        <v>49</v>
      </c>
      <c r="C85" t="s">
        <v>98</v>
      </c>
      <c r="D85">
        <v>93</v>
      </c>
      <c r="E85">
        <v>280378.37</v>
      </c>
      <c r="F85">
        <v>26075188.41</v>
      </c>
      <c r="G85" s="1">
        <v>45354</v>
      </c>
      <c r="H85" t="s">
        <v>30</v>
      </c>
      <c r="I85" t="s">
        <v>210</v>
      </c>
    </row>
    <row r="86" spans="1:9" x14ac:dyDescent="0.3">
      <c r="A86" t="s">
        <v>211</v>
      </c>
      <c r="B86" t="s">
        <v>22</v>
      </c>
      <c r="C86" t="s">
        <v>29</v>
      </c>
      <c r="E86">
        <v>216638.48</v>
      </c>
      <c r="G86" s="1">
        <v>45245</v>
      </c>
      <c r="H86" t="s">
        <v>11</v>
      </c>
    </row>
    <row r="87" spans="1:9" x14ac:dyDescent="0.3">
      <c r="A87" t="s">
        <v>212</v>
      </c>
      <c r="B87" t="s">
        <v>49</v>
      </c>
      <c r="C87" t="s">
        <v>29</v>
      </c>
      <c r="E87">
        <v>86692.92</v>
      </c>
      <c r="G87" s="1">
        <v>45243</v>
      </c>
      <c r="H87" t="s">
        <v>15</v>
      </c>
      <c r="I87" t="s">
        <v>213</v>
      </c>
    </row>
    <row r="88" spans="1:9" x14ac:dyDescent="0.3">
      <c r="A88" t="s">
        <v>214</v>
      </c>
      <c r="B88" t="s">
        <v>97</v>
      </c>
      <c r="C88" t="s">
        <v>98</v>
      </c>
      <c r="E88">
        <v>172256.3</v>
      </c>
      <c r="G88" s="1">
        <v>45368</v>
      </c>
      <c r="H88" t="s">
        <v>15</v>
      </c>
      <c r="I88" t="s">
        <v>215</v>
      </c>
    </row>
    <row r="89" spans="1:9" x14ac:dyDescent="0.3">
      <c r="A89" t="s">
        <v>216</v>
      </c>
      <c r="B89" t="s">
        <v>115</v>
      </c>
      <c r="C89" t="s">
        <v>14</v>
      </c>
      <c r="D89">
        <v>65</v>
      </c>
      <c r="E89">
        <v>163185.67000000001</v>
      </c>
      <c r="F89">
        <v>10607068.550000001</v>
      </c>
      <c r="G89" s="1">
        <v>45844</v>
      </c>
      <c r="H89" t="s">
        <v>51</v>
      </c>
      <c r="I89" t="s">
        <v>217</v>
      </c>
    </row>
    <row r="90" spans="1:9" x14ac:dyDescent="0.3">
      <c r="A90" t="s">
        <v>218</v>
      </c>
      <c r="B90" t="s">
        <v>18</v>
      </c>
      <c r="C90" t="s">
        <v>40</v>
      </c>
      <c r="E90">
        <v>268780.26</v>
      </c>
      <c r="G90" s="1">
        <v>45668</v>
      </c>
      <c r="H90" t="s">
        <v>30</v>
      </c>
      <c r="I90" t="s">
        <v>219</v>
      </c>
    </row>
    <row r="91" spans="1:9" x14ac:dyDescent="0.3">
      <c r="A91" t="s">
        <v>220</v>
      </c>
      <c r="B91" t="s">
        <v>39</v>
      </c>
      <c r="C91" t="s">
        <v>14</v>
      </c>
      <c r="D91">
        <v>62</v>
      </c>
      <c r="E91">
        <v>118662.47</v>
      </c>
      <c r="F91">
        <v>7357073.1399999997</v>
      </c>
      <c r="G91" s="1">
        <v>45293</v>
      </c>
      <c r="I91" t="s">
        <v>221</v>
      </c>
    </row>
    <row r="92" spans="1:9" x14ac:dyDescent="0.3">
      <c r="A92" t="s">
        <v>222</v>
      </c>
      <c r="B92" t="s">
        <v>151</v>
      </c>
      <c r="C92" t="s">
        <v>19</v>
      </c>
      <c r="G92" s="1">
        <v>45386</v>
      </c>
      <c r="I92" t="s">
        <v>223</v>
      </c>
    </row>
    <row r="93" spans="1:9" x14ac:dyDescent="0.3">
      <c r="B93" t="s">
        <v>87</v>
      </c>
      <c r="C93" t="s">
        <v>50</v>
      </c>
      <c r="E93">
        <v>103867.84</v>
      </c>
      <c r="G93" s="1">
        <v>45848</v>
      </c>
      <c r="H93" t="s">
        <v>51</v>
      </c>
      <c r="I93" s="2" t="s">
        <v>224</v>
      </c>
    </row>
    <row r="94" spans="1:9" x14ac:dyDescent="0.3">
      <c r="A94" t="s">
        <v>225</v>
      </c>
      <c r="B94" t="s">
        <v>97</v>
      </c>
      <c r="C94" t="s">
        <v>29</v>
      </c>
      <c r="E94">
        <v>232032.77</v>
      </c>
      <c r="G94" s="1">
        <v>45521</v>
      </c>
      <c r="H94" t="s">
        <v>30</v>
      </c>
      <c r="I94" t="s">
        <v>226</v>
      </c>
    </row>
    <row r="95" spans="1:9" x14ac:dyDescent="0.3">
      <c r="A95" t="s">
        <v>227</v>
      </c>
      <c r="B95" t="s">
        <v>57</v>
      </c>
      <c r="C95" t="s">
        <v>19</v>
      </c>
      <c r="D95">
        <v>74</v>
      </c>
      <c r="E95">
        <v>44369.599999999999</v>
      </c>
      <c r="F95">
        <v>3283350.4</v>
      </c>
      <c r="G95" s="1">
        <v>45813</v>
      </c>
      <c r="H95" t="s">
        <v>11</v>
      </c>
      <c r="I95" t="s">
        <v>228</v>
      </c>
    </row>
    <row r="96" spans="1:9" x14ac:dyDescent="0.3">
      <c r="A96" t="s">
        <v>229</v>
      </c>
      <c r="B96" t="s">
        <v>230</v>
      </c>
      <c r="C96" t="s">
        <v>25</v>
      </c>
      <c r="E96">
        <v>13098.91</v>
      </c>
      <c r="G96" s="1">
        <v>45338</v>
      </c>
      <c r="H96" t="s">
        <v>51</v>
      </c>
      <c r="I96" t="s">
        <v>231</v>
      </c>
    </row>
    <row r="97" spans="1:9" x14ac:dyDescent="0.3">
      <c r="A97" t="s">
        <v>232</v>
      </c>
      <c r="B97" t="s">
        <v>115</v>
      </c>
      <c r="C97" t="s">
        <v>59</v>
      </c>
      <c r="E97">
        <v>286616.46000000002</v>
      </c>
      <c r="G97" s="1">
        <v>45775</v>
      </c>
      <c r="H97" t="s">
        <v>15</v>
      </c>
      <c r="I97" t="s">
        <v>233</v>
      </c>
    </row>
    <row r="98" spans="1:9" x14ac:dyDescent="0.3">
      <c r="A98" t="s">
        <v>234</v>
      </c>
      <c r="B98" t="s">
        <v>83</v>
      </c>
      <c r="C98" t="s">
        <v>235</v>
      </c>
      <c r="E98">
        <v>24169.32</v>
      </c>
      <c r="G98" s="1">
        <v>45179</v>
      </c>
      <c r="H98" t="s">
        <v>11</v>
      </c>
      <c r="I98" t="s">
        <v>236</v>
      </c>
    </row>
    <row r="99" spans="1:9" x14ac:dyDescent="0.3">
      <c r="A99" t="s">
        <v>237</v>
      </c>
      <c r="B99" t="s">
        <v>28</v>
      </c>
      <c r="C99" t="s">
        <v>50</v>
      </c>
      <c r="E99">
        <v>277240.88</v>
      </c>
      <c r="G99" s="1">
        <v>45312</v>
      </c>
      <c r="H99" t="s">
        <v>30</v>
      </c>
      <c r="I99" t="s">
        <v>238</v>
      </c>
    </row>
    <row r="100" spans="1:9" x14ac:dyDescent="0.3">
      <c r="A100" t="s">
        <v>239</v>
      </c>
      <c r="B100" t="s">
        <v>18</v>
      </c>
      <c r="C100" t="s">
        <v>14</v>
      </c>
      <c r="E100">
        <v>196963.63</v>
      </c>
      <c r="G100" s="1">
        <v>45270</v>
      </c>
      <c r="H100" t="s">
        <v>15</v>
      </c>
    </row>
    <row r="101" spans="1:9" x14ac:dyDescent="0.3">
      <c r="A101" t="s">
        <v>240</v>
      </c>
      <c r="B101" t="s">
        <v>241</v>
      </c>
      <c r="C101" t="s">
        <v>25</v>
      </c>
      <c r="E101">
        <v>224327.88</v>
      </c>
      <c r="G101" s="1">
        <v>45611</v>
      </c>
      <c r="I101" t="s">
        <v>242</v>
      </c>
    </row>
    <row r="102" spans="1:9" x14ac:dyDescent="0.3">
      <c r="A102" t="s">
        <v>243</v>
      </c>
      <c r="B102" t="s">
        <v>22</v>
      </c>
      <c r="C102" t="s">
        <v>50</v>
      </c>
      <c r="D102">
        <v>35</v>
      </c>
      <c r="G102" s="1">
        <v>45545</v>
      </c>
      <c r="H102" t="s">
        <v>30</v>
      </c>
      <c r="I102" t="s">
        <v>244</v>
      </c>
    </row>
    <row r="103" spans="1:9" x14ac:dyDescent="0.3">
      <c r="A103" t="s">
        <v>245</v>
      </c>
      <c r="B103" t="s">
        <v>36</v>
      </c>
      <c r="C103" t="s">
        <v>98</v>
      </c>
      <c r="E103">
        <v>64589.05</v>
      </c>
      <c r="G103" s="1">
        <v>45331</v>
      </c>
      <c r="H103" t="s">
        <v>15</v>
      </c>
      <c r="I103" t="s">
        <v>246</v>
      </c>
    </row>
    <row r="104" spans="1:9" x14ac:dyDescent="0.3">
      <c r="A104" t="s">
        <v>247</v>
      </c>
      <c r="B104" t="s">
        <v>36</v>
      </c>
      <c r="C104" t="s">
        <v>25</v>
      </c>
      <c r="E104">
        <v>248471.54</v>
      </c>
      <c r="G104" s="1">
        <v>45215</v>
      </c>
      <c r="H104" t="s">
        <v>30</v>
      </c>
      <c r="I104" t="s">
        <v>248</v>
      </c>
    </row>
    <row r="105" spans="1:9" x14ac:dyDescent="0.3">
      <c r="A105" t="s">
        <v>249</v>
      </c>
      <c r="B105" t="s">
        <v>18</v>
      </c>
      <c r="C105" t="s">
        <v>76</v>
      </c>
      <c r="E105">
        <v>81704.25</v>
      </c>
      <c r="G105" s="1">
        <v>45603</v>
      </c>
      <c r="H105" t="s">
        <v>15</v>
      </c>
      <c r="I105" t="s">
        <v>250</v>
      </c>
    </row>
    <row r="106" spans="1:9" x14ac:dyDescent="0.3">
      <c r="B106" t="s">
        <v>87</v>
      </c>
      <c r="C106" t="s">
        <v>103</v>
      </c>
      <c r="D106">
        <v>1</v>
      </c>
      <c r="E106">
        <v>168824.4</v>
      </c>
      <c r="F106">
        <v>168824.4</v>
      </c>
      <c r="G106" s="1">
        <v>45353</v>
      </c>
      <c r="H106" t="s">
        <v>30</v>
      </c>
      <c r="I106" t="s">
        <v>251</v>
      </c>
    </row>
    <row r="107" spans="1:9" x14ac:dyDescent="0.3">
      <c r="A107" t="s">
        <v>252</v>
      </c>
      <c r="B107" t="s">
        <v>46</v>
      </c>
      <c r="C107" t="s">
        <v>29</v>
      </c>
      <c r="E107">
        <v>81850.63</v>
      </c>
      <c r="G107" s="1">
        <v>45595</v>
      </c>
      <c r="I107" t="s">
        <v>253</v>
      </c>
    </row>
    <row r="108" spans="1:9" x14ac:dyDescent="0.3">
      <c r="A108" t="s">
        <v>254</v>
      </c>
      <c r="B108" t="s">
        <v>87</v>
      </c>
      <c r="C108" t="s">
        <v>50</v>
      </c>
      <c r="E108">
        <v>33213.360000000001</v>
      </c>
      <c r="G108" s="1">
        <v>45532</v>
      </c>
      <c r="H108" t="s">
        <v>51</v>
      </c>
      <c r="I108" t="s">
        <v>255</v>
      </c>
    </row>
    <row r="109" spans="1:9" x14ac:dyDescent="0.3">
      <c r="A109" t="s">
        <v>256</v>
      </c>
      <c r="B109" t="s">
        <v>115</v>
      </c>
      <c r="C109" t="s">
        <v>29</v>
      </c>
      <c r="D109">
        <v>9</v>
      </c>
      <c r="E109">
        <v>222396.85</v>
      </c>
      <c r="F109">
        <v>2001571.65</v>
      </c>
      <c r="G109" s="1">
        <v>45190</v>
      </c>
      <c r="H109" t="s">
        <v>15</v>
      </c>
      <c r="I109" t="s">
        <v>257</v>
      </c>
    </row>
    <row r="110" spans="1:9" x14ac:dyDescent="0.3">
      <c r="A110" t="s">
        <v>258</v>
      </c>
      <c r="B110" t="s">
        <v>259</v>
      </c>
      <c r="C110" t="s">
        <v>50</v>
      </c>
      <c r="E110">
        <v>72164.98</v>
      </c>
      <c r="G110" s="1">
        <v>45508</v>
      </c>
      <c r="H110" t="s">
        <v>15</v>
      </c>
      <c r="I110" t="s">
        <v>260</v>
      </c>
    </row>
    <row r="111" spans="1:9" x14ac:dyDescent="0.3">
      <c r="A111" t="s">
        <v>261</v>
      </c>
      <c r="B111" t="s">
        <v>22</v>
      </c>
      <c r="C111" t="s">
        <v>25</v>
      </c>
      <c r="D111">
        <v>4</v>
      </c>
      <c r="E111">
        <v>15704.25</v>
      </c>
      <c r="F111">
        <v>62817</v>
      </c>
      <c r="G111" s="1">
        <v>45615</v>
      </c>
      <c r="I111" t="s">
        <v>262</v>
      </c>
    </row>
    <row r="112" spans="1:9" x14ac:dyDescent="0.3">
      <c r="A112" t="s">
        <v>263</v>
      </c>
      <c r="B112" t="s">
        <v>28</v>
      </c>
      <c r="C112" t="s">
        <v>50</v>
      </c>
      <c r="G112" s="1">
        <v>45248</v>
      </c>
      <c r="H112" t="s">
        <v>51</v>
      </c>
      <c r="I112" t="s">
        <v>264</v>
      </c>
    </row>
    <row r="113" spans="1:9" x14ac:dyDescent="0.3">
      <c r="A113" t="s">
        <v>265</v>
      </c>
      <c r="B113" t="s">
        <v>62</v>
      </c>
      <c r="C113" t="s">
        <v>98</v>
      </c>
      <c r="E113">
        <v>271602.67</v>
      </c>
      <c r="G113" s="1">
        <v>45577</v>
      </c>
      <c r="H113" t="s">
        <v>30</v>
      </c>
      <c r="I113" t="s">
        <v>266</v>
      </c>
    </row>
    <row r="114" spans="1:9" x14ac:dyDescent="0.3">
      <c r="A114" t="s">
        <v>267</v>
      </c>
      <c r="B114" t="s">
        <v>230</v>
      </c>
      <c r="C114" t="s">
        <v>63</v>
      </c>
      <c r="E114">
        <v>68088.66</v>
      </c>
      <c r="G114" s="1">
        <v>45569</v>
      </c>
      <c r="H114" t="s">
        <v>15</v>
      </c>
    </row>
    <row r="115" spans="1:9" x14ac:dyDescent="0.3">
      <c r="A115" t="s">
        <v>268</v>
      </c>
      <c r="B115" t="s">
        <v>39</v>
      </c>
      <c r="C115" t="s">
        <v>76</v>
      </c>
      <c r="D115">
        <v>44</v>
      </c>
      <c r="E115">
        <v>70234.55</v>
      </c>
      <c r="F115">
        <v>3090320.2</v>
      </c>
      <c r="G115" s="1">
        <v>45237</v>
      </c>
      <c r="H115" t="s">
        <v>51</v>
      </c>
      <c r="I115" t="s">
        <v>269</v>
      </c>
    </row>
    <row r="116" spans="1:9" x14ac:dyDescent="0.3">
      <c r="A116" t="s">
        <v>270</v>
      </c>
      <c r="B116" t="s">
        <v>49</v>
      </c>
      <c r="C116" t="s">
        <v>59</v>
      </c>
      <c r="E116">
        <v>30509.29</v>
      </c>
      <c r="G116" s="1">
        <v>45250</v>
      </c>
      <c r="H116" t="s">
        <v>30</v>
      </c>
      <c r="I116" t="s">
        <v>271</v>
      </c>
    </row>
    <row r="117" spans="1:9" x14ac:dyDescent="0.3">
      <c r="A117" t="s">
        <v>272</v>
      </c>
      <c r="B117" t="s">
        <v>33</v>
      </c>
      <c r="C117" t="s">
        <v>50</v>
      </c>
      <c r="E117">
        <v>99422.94</v>
      </c>
      <c r="G117" s="1">
        <v>45629</v>
      </c>
      <c r="H117" t="s">
        <v>15</v>
      </c>
      <c r="I117" t="s">
        <v>273</v>
      </c>
    </row>
    <row r="118" spans="1:9" x14ac:dyDescent="0.3">
      <c r="A118" t="s">
        <v>274</v>
      </c>
      <c r="B118" t="s">
        <v>28</v>
      </c>
      <c r="C118" t="s">
        <v>59</v>
      </c>
      <c r="E118">
        <v>141984.97</v>
      </c>
      <c r="G118" s="1">
        <v>45603</v>
      </c>
      <c r="H118" t="s">
        <v>15</v>
      </c>
      <c r="I118" t="s">
        <v>275</v>
      </c>
    </row>
    <row r="119" spans="1:9" x14ac:dyDescent="0.3">
      <c r="B119" t="s">
        <v>276</v>
      </c>
      <c r="C119" t="s">
        <v>98</v>
      </c>
      <c r="D119">
        <v>77</v>
      </c>
      <c r="E119">
        <v>204517</v>
      </c>
      <c r="F119">
        <v>15747809</v>
      </c>
      <c r="G119" s="1">
        <v>45677</v>
      </c>
      <c r="H119" t="s">
        <v>30</v>
      </c>
      <c r="I119" t="s">
        <v>277</v>
      </c>
    </row>
    <row r="120" spans="1:9" x14ac:dyDescent="0.3">
      <c r="A120" t="s">
        <v>278</v>
      </c>
      <c r="B120" t="s">
        <v>46</v>
      </c>
      <c r="C120" t="s">
        <v>76</v>
      </c>
      <c r="D120">
        <v>7</v>
      </c>
      <c r="E120">
        <v>41671.379999999997</v>
      </c>
      <c r="F120">
        <v>291699.65999999997</v>
      </c>
      <c r="G120" s="1">
        <v>45818</v>
      </c>
      <c r="I120" t="s">
        <v>279</v>
      </c>
    </row>
    <row r="121" spans="1:9" x14ac:dyDescent="0.3">
      <c r="A121" t="s">
        <v>280</v>
      </c>
      <c r="B121" t="s">
        <v>66</v>
      </c>
      <c r="C121" t="s">
        <v>19</v>
      </c>
      <c r="E121">
        <v>289373.37</v>
      </c>
      <c r="G121" s="1">
        <v>45588</v>
      </c>
      <c r="H121" t="s">
        <v>51</v>
      </c>
      <c r="I121" t="s">
        <v>281</v>
      </c>
    </row>
    <row r="122" spans="1:9" x14ac:dyDescent="0.3">
      <c r="A122" t="s">
        <v>282</v>
      </c>
      <c r="B122" t="s">
        <v>39</v>
      </c>
      <c r="C122" t="s">
        <v>84</v>
      </c>
      <c r="G122" s="1">
        <v>45380</v>
      </c>
      <c r="H122" t="s">
        <v>15</v>
      </c>
      <c r="I122" t="s">
        <v>283</v>
      </c>
    </row>
    <row r="123" spans="1:9" x14ac:dyDescent="0.3">
      <c r="A123" t="s">
        <v>284</v>
      </c>
      <c r="B123" t="s">
        <v>115</v>
      </c>
      <c r="C123" t="s">
        <v>76</v>
      </c>
      <c r="E123">
        <v>293384.26</v>
      </c>
      <c r="G123" s="1">
        <v>45772</v>
      </c>
      <c r="H123" t="s">
        <v>30</v>
      </c>
      <c r="I123" t="s">
        <v>285</v>
      </c>
    </row>
    <row r="124" spans="1:9" x14ac:dyDescent="0.3">
      <c r="A124" t="s">
        <v>286</v>
      </c>
      <c r="B124" t="s">
        <v>115</v>
      </c>
      <c r="C124" t="s">
        <v>59</v>
      </c>
      <c r="E124">
        <v>47803.35</v>
      </c>
      <c r="G124" s="1">
        <v>45835</v>
      </c>
      <c r="H124" t="s">
        <v>15</v>
      </c>
      <c r="I124" t="s">
        <v>287</v>
      </c>
    </row>
    <row r="125" spans="1:9" x14ac:dyDescent="0.3">
      <c r="A125" t="s">
        <v>288</v>
      </c>
      <c r="B125" t="s">
        <v>66</v>
      </c>
      <c r="C125" t="s">
        <v>19</v>
      </c>
      <c r="E125">
        <v>196041.39</v>
      </c>
      <c r="G125" s="1">
        <v>45555</v>
      </c>
      <c r="H125" t="s">
        <v>30</v>
      </c>
      <c r="I125" t="s">
        <v>289</v>
      </c>
    </row>
    <row r="126" spans="1:9" x14ac:dyDescent="0.3">
      <c r="A126" t="s">
        <v>290</v>
      </c>
      <c r="B126" t="s">
        <v>83</v>
      </c>
      <c r="C126" t="s">
        <v>14</v>
      </c>
      <c r="E126">
        <v>264253.90999999997</v>
      </c>
      <c r="G126" s="1">
        <v>45149</v>
      </c>
      <c r="H126" t="s">
        <v>15</v>
      </c>
      <c r="I126" t="s">
        <v>291</v>
      </c>
    </row>
    <row r="127" spans="1:9" x14ac:dyDescent="0.3">
      <c r="A127" t="s">
        <v>292</v>
      </c>
      <c r="B127" t="s">
        <v>62</v>
      </c>
      <c r="C127" t="s">
        <v>76</v>
      </c>
      <c r="E127">
        <v>142972.04</v>
      </c>
      <c r="G127" s="1">
        <v>45758</v>
      </c>
      <c r="H127" t="s">
        <v>11</v>
      </c>
      <c r="I127" t="s">
        <v>293</v>
      </c>
    </row>
    <row r="128" spans="1:9" x14ac:dyDescent="0.3">
      <c r="A128" t="s">
        <v>294</v>
      </c>
      <c r="B128" t="s">
        <v>169</v>
      </c>
      <c r="C128" t="s">
        <v>14</v>
      </c>
      <c r="E128">
        <v>195336.34</v>
      </c>
      <c r="G128" s="1">
        <v>45788</v>
      </c>
    </row>
    <row r="129" spans="1:9" x14ac:dyDescent="0.3">
      <c r="A129" t="s">
        <v>295</v>
      </c>
      <c r="B129" t="s">
        <v>36</v>
      </c>
      <c r="C129" t="s">
        <v>25</v>
      </c>
      <c r="E129">
        <v>226895.35999999999</v>
      </c>
      <c r="G129" s="1">
        <v>45140</v>
      </c>
      <c r="H129" t="s">
        <v>51</v>
      </c>
      <c r="I129" t="s">
        <v>296</v>
      </c>
    </row>
    <row r="130" spans="1:9" x14ac:dyDescent="0.3">
      <c r="A130" t="s">
        <v>297</v>
      </c>
      <c r="B130" t="s">
        <v>13</v>
      </c>
      <c r="C130" t="s">
        <v>10</v>
      </c>
      <c r="D130">
        <v>56</v>
      </c>
      <c r="E130">
        <v>86529.89</v>
      </c>
      <c r="F130">
        <v>4845673.84</v>
      </c>
      <c r="G130" s="1">
        <v>45181</v>
      </c>
      <c r="I130" t="s">
        <v>298</v>
      </c>
    </row>
    <row r="131" spans="1:9" x14ac:dyDescent="0.3">
      <c r="A131" t="s">
        <v>299</v>
      </c>
      <c r="B131" t="s">
        <v>33</v>
      </c>
      <c r="C131" t="s">
        <v>19</v>
      </c>
      <c r="E131">
        <v>85981.89</v>
      </c>
      <c r="G131" s="1">
        <v>45153</v>
      </c>
      <c r="I131" t="s">
        <v>300</v>
      </c>
    </row>
    <row r="132" spans="1:9" x14ac:dyDescent="0.3">
      <c r="B132" t="s">
        <v>36</v>
      </c>
      <c r="C132" t="s">
        <v>76</v>
      </c>
      <c r="G132" s="1">
        <v>45616</v>
      </c>
      <c r="H132" t="s">
        <v>51</v>
      </c>
      <c r="I132" t="s">
        <v>301</v>
      </c>
    </row>
    <row r="133" spans="1:9" x14ac:dyDescent="0.3">
      <c r="A133" t="s">
        <v>302</v>
      </c>
      <c r="B133" t="s">
        <v>18</v>
      </c>
      <c r="C133" t="s">
        <v>25</v>
      </c>
      <c r="E133">
        <v>18219.189999999999</v>
      </c>
      <c r="G133" s="1">
        <v>45716</v>
      </c>
      <c r="I133" t="s">
        <v>303</v>
      </c>
    </row>
    <row r="134" spans="1:9" x14ac:dyDescent="0.3">
      <c r="A134" t="s">
        <v>304</v>
      </c>
      <c r="B134" t="s">
        <v>97</v>
      </c>
      <c r="C134" t="s">
        <v>59</v>
      </c>
      <c r="E134">
        <v>230733.14</v>
      </c>
      <c r="G134" s="1">
        <v>45565</v>
      </c>
      <c r="H134" t="s">
        <v>11</v>
      </c>
      <c r="I134" t="s">
        <v>305</v>
      </c>
    </row>
    <row r="135" spans="1:9" x14ac:dyDescent="0.3">
      <c r="A135" t="s">
        <v>306</v>
      </c>
      <c r="B135" t="s">
        <v>33</v>
      </c>
      <c r="C135" t="s">
        <v>29</v>
      </c>
      <c r="D135">
        <v>6</v>
      </c>
      <c r="E135">
        <v>195863.47</v>
      </c>
      <c r="F135">
        <v>1175180.82</v>
      </c>
      <c r="G135" s="1">
        <v>45323</v>
      </c>
      <c r="H135" t="s">
        <v>30</v>
      </c>
      <c r="I135" t="s">
        <v>307</v>
      </c>
    </row>
    <row r="136" spans="1:9" x14ac:dyDescent="0.3">
      <c r="A136" t="s">
        <v>308</v>
      </c>
      <c r="B136" t="s">
        <v>143</v>
      </c>
      <c r="C136" t="s">
        <v>50</v>
      </c>
      <c r="E136">
        <v>70049.95</v>
      </c>
      <c r="G136" s="1">
        <v>45623</v>
      </c>
      <c r="H136" t="s">
        <v>51</v>
      </c>
      <c r="I136" t="s">
        <v>309</v>
      </c>
    </row>
    <row r="137" spans="1:9" x14ac:dyDescent="0.3">
      <c r="A137" t="s">
        <v>310</v>
      </c>
      <c r="B137" t="s">
        <v>311</v>
      </c>
      <c r="C137" t="s">
        <v>25</v>
      </c>
      <c r="D137">
        <v>8</v>
      </c>
      <c r="E137">
        <v>221736.61</v>
      </c>
      <c r="F137">
        <v>1773892.88</v>
      </c>
      <c r="G137" s="1">
        <v>45281</v>
      </c>
      <c r="H137" t="s">
        <v>30</v>
      </c>
      <c r="I137" t="s">
        <v>312</v>
      </c>
    </row>
    <row r="138" spans="1:9" x14ac:dyDescent="0.3">
      <c r="A138" t="s">
        <v>313</v>
      </c>
      <c r="B138" t="s">
        <v>93</v>
      </c>
      <c r="C138" t="s">
        <v>10</v>
      </c>
      <c r="E138">
        <v>255174.76</v>
      </c>
      <c r="G138" s="1">
        <v>45713</v>
      </c>
      <c r="H138" t="s">
        <v>15</v>
      </c>
      <c r="I138" t="s">
        <v>314</v>
      </c>
    </row>
    <row r="139" spans="1:9" x14ac:dyDescent="0.3">
      <c r="A139" t="s">
        <v>315</v>
      </c>
      <c r="B139" t="s">
        <v>83</v>
      </c>
      <c r="C139" t="s">
        <v>29</v>
      </c>
      <c r="D139">
        <v>28</v>
      </c>
      <c r="E139">
        <v>11670.82</v>
      </c>
      <c r="F139">
        <v>326782.96000000002</v>
      </c>
      <c r="G139" s="1">
        <v>45562</v>
      </c>
      <c r="H139" t="s">
        <v>11</v>
      </c>
      <c r="I139" t="s">
        <v>316</v>
      </c>
    </row>
    <row r="140" spans="1:9" x14ac:dyDescent="0.3">
      <c r="A140" t="s">
        <v>317</v>
      </c>
      <c r="B140" t="s">
        <v>13</v>
      </c>
      <c r="C140" t="s">
        <v>19</v>
      </c>
      <c r="E140">
        <v>276480.53000000003</v>
      </c>
      <c r="G140" s="1">
        <v>45441</v>
      </c>
      <c r="H140" t="s">
        <v>30</v>
      </c>
      <c r="I140" t="s">
        <v>318</v>
      </c>
    </row>
    <row r="141" spans="1:9" x14ac:dyDescent="0.3">
      <c r="A141" t="s">
        <v>319</v>
      </c>
      <c r="B141" t="s">
        <v>18</v>
      </c>
      <c r="C141" t="s">
        <v>76</v>
      </c>
      <c r="E141">
        <v>125656.55</v>
      </c>
      <c r="G141" s="1">
        <v>45598</v>
      </c>
      <c r="H141" t="s">
        <v>30</v>
      </c>
      <c r="I141" t="s">
        <v>320</v>
      </c>
    </row>
    <row r="142" spans="1:9" x14ac:dyDescent="0.3">
      <c r="A142" t="s">
        <v>321</v>
      </c>
      <c r="B142" t="s">
        <v>62</v>
      </c>
      <c r="C142" t="s">
        <v>59</v>
      </c>
      <c r="D142">
        <v>16</v>
      </c>
      <c r="G142" s="1">
        <v>45614</v>
      </c>
      <c r="H142" t="s">
        <v>51</v>
      </c>
    </row>
    <row r="143" spans="1:9" x14ac:dyDescent="0.3">
      <c r="A143" t="s">
        <v>322</v>
      </c>
      <c r="B143" t="s">
        <v>93</v>
      </c>
      <c r="C143" t="s">
        <v>98</v>
      </c>
      <c r="E143">
        <v>251362.66</v>
      </c>
      <c r="G143" s="1">
        <v>45141</v>
      </c>
      <c r="H143" t="s">
        <v>15</v>
      </c>
      <c r="I143" t="s">
        <v>323</v>
      </c>
    </row>
    <row r="144" spans="1:9" x14ac:dyDescent="0.3">
      <c r="A144" t="s">
        <v>324</v>
      </c>
      <c r="B144" t="s">
        <v>62</v>
      </c>
      <c r="C144" t="s">
        <v>19</v>
      </c>
      <c r="D144">
        <v>56</v>
      </c>
      <c r="E144">
        <v>280209.82</v>
      </c>
      <c r="F144">
        <v>15691749.92</v>
      </c>
      <c r="G144" s="1">
        <v>45504</v>
      </c>
      <c r="H144" t="s">
        <v>51</v>
      </c>
      <c r="I144" t="s">
        <v>325</v>
      </c>
    </row>
    <row r="145" spans="1:9" x14ac:dyDescent="0.3">
      <c r="B145" t="s">
        <v>33</v>
      </c>
      <c r="C145" t="s">
        <v>59</v>
      </c>
      <c r="E145">
        <v>11383.78</v>
      </c>
      <c r="G145" s="1">
        <v>45808</v>
      </c>
      <c r="H145" t="s">
        <v>15</v>
      </c>
      <c r="I145" t="s">
        <v>326</v>
      </c>
    </row>
    <row r="146" spans="1:9" x14ac:dyDescent="0.3">
      <c r="A146" t="s">
        <v>327</v>
      </c>
      <c r="B146" t="s">
        <v>328</v>
      </c>
      <c r="C146" t="s">
        <v>235</v>
      </c>
      <c r="E146">
        <v>250942.86</v>
      </c>
      <c r="G146" s="1">
        <v>45605</v>
      </c>
      <c r="H146" t="s">
        <v>51</v>
      </c>
      <c r="I146" t="s">
        <v>329</v>
      </c>
    </row>
    <row r="147" spans="1:9" x14ac:dyDescent="0.3">
      <c r="A147" t="s">
        <v>330</v>
      </c>
      <c r="B147" t="s">
        <v>62</v>
      </c>
      <c r="C147" t="s">
        <v>19</v>
      </c>
      <c r="E147">
        <v>236494.21</v>
      </c>
      <c r="G147" s="1">
        <v>45541</v>
      </c>
      <c r="H147" t="s">
        <v>30</v>
      </c>
      <c r="I147" t="s">
        <v>331</v>
      </c>
    </row>
    <row r="148" spans="1:9" x14ac:dyDescent="0.3">
      <c r="A148" t="s">
        <v>332</v>
      </c>
      <c r="B148" t="s">
        <v>66</v>
      </c>
      <c r="C148" t="s">
        <v>29</v>
      </c>
      <c r="E148">
        <v>56300.33</v>
      </c>
      <c r="G148" s="1">
        <v>45342</v>
      </c>
      <c r="H148" t="s">
        <v>30</v>
      </c>
      <c r="I148" t="s">
        <v>333</v>
      </c>
    </row>
    <row r="149" spans="1:9" x14ac:dyDescent="0.3">
      <c r="A149" t="s">
        <v>334</v>
      </c>
      <c r="B149" t="s">
        <v>57</v>
      </c>
      <c r="C149" t="s">
        <v>59</v>
      </c>
      <c r="D149">
        <v>46</v>
      </c>
      <c r="E149">
        <v>224826.46</v>
      </c>
      <c r="F149">
        <v>10342017.16</v>
      </c>
      <c r="G149" s="1">
        <v>45616</v>
      </c>
      <c r="H149" t="s">
        <v>11</v>
      </c>
      <c r="I149" t="s">
        <v>335</v>
      </c>
    </row>
    <row r="150" spans="1:9" x14ac:dyDescent="0.3">
      <c r="A150" t="s">
        <v>336</v>
      </c>
      <c r="B150" t="s">
        <v>28</v>
      </c>
      <c r="C150" t="s">
        <v>25</v>
      </c>
      <c r="E150">
        <v>261751.06</v>
      </c>
      <c r="G150" s="1">
        <v>45352</v>
      </c>
      <c r="H150" t="s">
        <v>30</v>
      </c>
      <c r="I150" t="s">
        <v>337</v>
      </c>
    </row>
    <row r="151" spans="1:9" x14ac:dyDescent="0.3">
      <c r="A151" t="s">
        <v>338</v>
      </c>
      <c r="B151" t="s">
        <v>119</v>
      </c>
      <c r="C151" t="s">
        <v>59</v>
      </c>
      <c r="E151">
        <v>87195.36</v>
      </c>
      <c r="G151" s="1">
        <v>45493</v>
      </c>
      <c r="I151" t="s">
        <v>339</v>
      </c>
    </row>
    <row r="152" spans="1:9" x14ac:dyDescent="0.3">
      <c r="A152" t="s">
        <v>340</v>
      </c>
      <c r="B152" t="s">
        <v>93</v>
      </c>
      <c r="C152" t="s">
        <v>25</v>
      </c>
      <c r="G152" s="1">
        <v>45308</v>
      </c>
      <c r="H152" t="s">
        <v>30</v>
      </c>
      <c r="I152" t="s">
        <v>341</v>
      </c>
    </row>
    <row r="153" spans="1:9" x14ac:dyDescent="0.3">
      <c r="A153" t="s">
        <v>342</v>
      </c>
      <c r="B153" t="s">
        <v>36</v>
      </c>
      <c r="C153" t="s">
        <v>25</v>
      </c>
      <c r="E153">
        <v>11721.12</v>
      </c>
      <c r="G153" s="1">
        <v>45743</v>
      </c>
      <c r="I153" t="s">
        <v>343</v>
      </c>
    </row>
    <row r="154" spans="1:9" x14ac:dyDescent="0.3">
      <c r="A154" t="s">
        <v>344</v>
      </c>
      <c r="B154" t="s">
        <v>62</v>
      </c>
      <c r="C154" t="s">
        <v>138</v>
      </c>
      <c r="E154">
        <v>89868.47</v>
      </c>
      <c r="G154" s="1">
        <v>45745</v>
      </c>
      <c r="H154" t="s">
        <v>30</v>
      </c>
      <c r="I154" t="s">
        <v>345</v>
      </c>
    </row>
    <row r="155" spans="1:9" x14ac:dyDescent="0.3">
      <c r="A155" t="s">
        <v>346</v>
      </c>
      <c r="B155" t="s">
        <v>69</v>
      </c>
      <c r="C155" t="s">
        <v>29</v>
      </c>
      <c r="E155">
        <v>181033.5</v>
      </c>
      <c r="G155" s="1">
        <v>45650</v>
      </c>
      <c r="I155" t="s">
        <v>347</v>
      </c>
    </row>
    <row r="156" spans="1:9" x14ac:dyDescent="0.3">
      <c r="A156" t="s">
        <v>348</v>
      </c>
      <c r="B156" t="s">
        <v>66</v>
      </c>
      <c r="C156" t="s">
        <v>50</v>
      </c>
      <c r="E156">
        <v>278572.23</v>
      </c>
      <c r="G156" s="1">
        <v>45433</v>
      </c>
    </row>
    <row r="157" spans="1:9" x14ac:dyDescent="0.3">
      <c r="A157" t="s">
        <v>349</v>
      </c>
      <c r="B157" t="s">
        <v>97</v>
      </c>
      <c r="C157" t="s">
        <v>29</v>
      </c>
      <c r="E157">
        <v>100845.11</v>
      </c>
      <c r="G157" s="1">
        <v>45349</v>
      </c>
      <c r="H157" t="s">
        <v>30</v>
      </c>
      <c r="I157" t="s">
        <v>350</v>
      </c>
    </row>
    <row r="158" spans="1:9" x14ac:dyDescent="0.3">
      <c r="B158" t="s">
        <v>230</v>
      </c>
      <c r="C158" t="s">
        <v>76</v>
      </c>
      <c r="E158">
        <v>136577.54999999999</v>
      </c>
      <c r="G158" s="1">
        <v>45470</v>
      </c>
      <c r="I158" t="s">
        <v>351</v>
      </c>
    </row>
    <row r="159" spans="1:9" x14ac:dyDescent="0.3">
      <c r="A159" t="s">
        <v>352</v>
      </c>
      <c r="B159" t="s">
        <v>13</v>
      </c>
      <c r="C159" t="s">
        <v>19</v>
      </c>
      <c r="E159">
        <v>192573.07</v>
      </c>
      <c r="G159" s="1">
        <v>45174</v>
      </c>
      <c r="H159" t="s">
        <v>11</v>
      </c>
      <c r="I159" t="s">
        <v>353</v>
      </c>
    </row>
    <row r="160" spans="1:9" x14ac:dyDescent="0.3">
      <c r="A160" t="s">
        <v>354</v>
      </c>
      <c r="B160" t="s">
        <v>33</v>
      </c>
      <c r="C160" t="s">
        <v>29</v>
      </c>
      <c r="E160">
        <v>157533.4</v>
      </c>
      <c r="G160" s="1">
        <v>45652</v>
      </c>
      <c r="H160" t="s">
        <v>15</v>
      </c>
      <c r="I160" t="s">
        <v>355</v>
      </c>
    </row>
    <row r="161" spans="1:9" x14ac:dyDescent="0.3">
      <c r="A161" t="s">
        <v>356</v>
      </c>
      <c r="B161" t="s">
        <v>119</v>
      </c>
      <c r="C161" t="s">
        <v>19</v>
      </c>
      <c r="E161">
        <v>266833.36</v>
      </c>
      <c r="G161" s="1">
        <v>45164</v>
      </c>
      <c r="I161" t="s">
        <v>357</v>
      </c>
    </row>
    <row r="162" spans="1:9" x14ac:dyDescent="0.3">
      <c r="A162" t="s">
        <v>358</v>
      </c>
      <c r="B162" t="s">
        <v>143</v>
      </c>
      <c r="C162" t="s">
        <v>10</v>
      </c>
      <c r="D162">
        <v>47</v>
      </c>
      <c r="G162" s="1">
        <v>45240</v>
      </c>
      <c r="I162" t="s">
        <v>359</v>
      </c>
    </row>
    <row r="163" spans="1:9" x14ac:dyDescent="0.3">
      <c r="A163" t="s">
        <v>360</v>
      </c>
      <c r="B163" t="s">
        <v>22</v>
      </c>
      <c r="C163" t="s">
        <v>19</v>
      </c>
      <c r="D163">
        <v>56</v>
      </c>
      <c r="E163">
        <v>40692.879999999997</v>
      </c>
      <c r="F163">
        <v>2278801.2799999998</v>
      </c>
      <c r="G163" s="1">
        <v>45459</v>
      </c>
      <c r="H163" t="s">
        <v>11</v>
      </c>
      <c r="I163" t="s">
        <v>361</v>
      </c>
    </row>
    <row r="164" spans="1:9" x14ac:dyDescent="0.3">
      <c r="A164" t="s">
        <v>362</v>
      </c>
      <c r="B164" t="s">
        <v>363</v>
      </c>
      <c r="C164" t="s">
        <v>98</v>
      </c>
      <c r="E164">
        <v>151511.70000000001</v>
      </c>
      <c r="G164" s="1">
        <v>45440</v>
      </c>
      <c r="H164" t="s">
        <v>11</v>
      </c>
      <c r="I164" t="s">
        <v>364</v>
      </c>
    </row>
    <row r="165" spans="1:9" x14ac:dyDescent="0.3">
      <c r="A165" t="s">
        <v>365</v>
      </c>
      <c r="B165" t="s">
        <v>22</v>
      </c>
      <c r="C165" t="s">
        <v>50</v>
      </c>
      <c r="E165">
        <v>82214.710000000006</v>
      </c>
      <c r="G165" s="1">
        <v>45494</v>
      </c>
      <c r="H165" t="s">
        <v>51</v>
      </c>
      <c r="I165" t="s">
        <v>366</v>
      </c>
    </row>
    <row r="166" spans="1:9" x14ac:dyDescent="0.3">
      <c r="A166" t="s">
        <v>367</v>
      </c>
      <c r="B166" t="s">
        <v>87</v>
      </c>
      <c r="C166" t="s">
        <v>25</v>
      </c>
      <c r="D166">
        <v>68</v>
      </c>
      <c r="E166">
        <v>242739.76</v>
      </c>
      <c r="F166">
        <v>16506303.68</v>
      </c>
      <c r="G166" s="1">
        <v>45478</v>
      </c>
      <c r="H166" t="s">
        <v>15</v>
      </c>
      <c r="I166" t="s">
        <v>368</v>
      </c>
    </row>
    <row r="167" spans="1:9" x14ac:dyDescent="0.3">
      <c r="A167" t="s">
        <v>369</v>
      </c>
      <c r="B167" t="s">
        <v>39</v>
      </c>
      <c r="C167" t="s">
        <v>29</v>
      </c>
      <c r="E167">
        <v>99539.89</v>
      </c>
      <c r="G167" s="1">
        <v>45276</v>
      </c>
      <c r="H167" t="s">
        <v>51</v>
      </c>
      <c r="I167" t="s">
        <v>370</v>
      </c>
    </row>
    <row r="168" spans="1:9" x14ac:dyDescent="0.3">
      <c r="A168" t="s">
        <v>371</v>
      </c>
      <c r="B168" t="s">
        <v>39</v>
      </c>
      <c r="C168" t="s">
        <v>76</v>
      </c>
      <c r="E168">
        <v>219470.21</v>
      </c>
      <c r="G168" s="1">
        <v>45382</v>
      </c>
      <c r="I168" t="s">
        <v>372</v>
      </c>
    </row>
    <row r="169" spans="1:9" x14ac:dyDescent="0.3">
      <c r="A169" t="s">
        <v>373</v>
      </c>
      <c r="B169" t="s">
        <v>230</v>
      </c>
      <c r="C169" t="s">
        <v>29</v>
      </c>
      <c r="E169">
        <v>194661.46</v>
      </c>
      <c r="G169" s="1">
        <v>45589</v>
      </c>
      <c r="H169" t="s">
        <v>11</v>
      </c>
      <c r="I169" t="s">
        <v>374</v>
      </c>
    </row>
    <row r="170" spans="1:9" x14ac:dyDescent="0.3">
      <c r="A170" t="s">
        <v>375</v>
      </c>
      <c r="B170" t="s">
        <v>39</v>
      </c>
      <c r="C170" t="s">
        <v>172</v>
      </c>
      <c r="D170">
        <v>100</v>
      </c>
      <c r="E170">
        <v>215720.15</v>
      </c>
      <c r="F170">
        <v>21572015</v>
      </c>
      <c r="G170" s="1">
        <v>45229</v>
      </c>
    </row>
    <row r="171" spans="1:9" x14ac:dyDescent="0.3">
      <c r="B171" t="s">
        <v>36</v>
      </c>
      <c r="C171" t="s">
        <v>59</v>
      </c>
      <c r="E171">
        <v>4718.22</v>
      </c>
      <c r="G171" s="1">
        <v>45360</v>
      </c>
      <c r="H171" t="s">
        <v>30</v>
      </c>
      <c r="I171" t="s">
        <v>376</v>
      </c>
    </row>
    <row r="172" spans="1:9" x14ac:dyDescent="0.3">
      <c r="A172" t="s">
        <v>377</v>
      </c>
      <c r="B172" t="s">
        <v>28</v>
      </c>
      <c r="C172" t="s">
        <v>19</v>
      </c>
      <c r="D172">
        <v>82</v>
      </c>
      <c r="G172" s="1">
        <v>45787</v>
      </c>
      <c r="H172" t="s">
        <v>15</v>
      </c>
      <c r="I172" t="s">
        <v>378</v>
      </c>
    </row>
    <row r="173" spans="1:9" x14ac:dyDescent="0.3">
      <c r="A173" t="s">
        <v>379</v>
      </c>
      <c r="B173" t="s">
        <v>241</v>
      </c>
      <c r="C173" t="s">
        <v>59</v>
      </c>
      <c r="E173">
        <v>101465.1</v>
      </c>
      <c r="G173" s="1">
        <v>45675</v>
      </c>
      <c r="H173" t="s">
        <v>30</v>
      </c>
      <c r="I173" t="s">
        <v>380</v>
      </c>
    </row>
    <row r="174" spans="1:9" x14ac:dyDescent="0.3">
      <c r="A174" t="s">
        <v>381</v>
      </c>
      <c r="B174" t="s">
        <v>230</v>
      </c>
      <c r="C174" t="s">
        <v>76</v>
      </c>
      <c r="E174">
        <v>88859.77</v>
      </c>
      <c r="G174" s="1">
        <v>45366</v>
      </c>
      <c r="H174" t="s">
        <v>11</v>
      </c>
      <c r="I174" t="s">
        <v>382</v>
      </c>
    </row>
    <row r="175" spans="1:9" x14ac:dyDescent="0.3">
      <c r="A175" t="s">
        <v>383</v>
      </c>
      <c r="B175" t="s">
        <v>36</v>
      </c>
      <c r="C175" t="s">
        <v>59</v>
      </c>
      <c r="E175">
        <v>202483.14</v>
      </c>
      <c r="G175" s="1">
        <v>45688</v>
      </c>
      <c r="H175" t="s">
        <v>11</v>
      </c>
      <c r="I175" t="s">
        <v>384</v>
      </c>
    </row>
    <row r="176" spans="1:9" x14ac:dyDescent="0.3">
      <c r="A176" t="s">
        <v>385</v>
      </c>
      <c r="B176" t="s">
        <v>93</v>
      </c>
      <c r="C176" t="s">
        <v>59</v>
      </c>
      <c r="D176">
        <v>83</v>
      </c>
      <c r="E176">
        <v>58351.81</v>
      </c>
      <c r="F176">
        <v>4843200.2300000004</v>
      </c>
      <c r="G176" s="1">
        <v>45786</v>
      </c>
      <c r="H176" t="s">
        <v>11</v>
      </c>
      <c r="I176" t="s">
        <v>386</v>
      </c>
    </row>
    <row r="177" spans="1:9" x14ac:dyDescent="0.3">
      <c r="A177" t="s">
        <v>387</v>
      </c>
      <c r="B177" t="s">
        <v>18</v>
      </c>
      <c r="C177" t="s">
        <v>19</v>
      </c>
      <c r="D177">
        <v>31</v>
      </c>
      <c r="E177">
        <v>183480.87</v>
      </c>
      <c r="F177">
        <v>5687906.9699999997</v>
      </c>
      <c r="G177" s="1">
        <v>45386</v>
      </c>
      <c r="H177" t="s">
        <v>15</v>
      </c>
      <c r="I177" t="s">
        <v>388</v>
      </c>
    </row>
    <row r="178" spans="1:9" x14ac:dyDescent="0.3">
      <c r="A178" t="s">
        <v>389</v>
      </c>
      <c r="B178" t="s">
        <v>62</v>
      </c>
      <c r="C178" t="s">
        <v>172</v>
      </c>
      <c r="E178">
        <v>191798.38</v>
      </c>
      <c r="G178" s="1">
        <v>45427</v>
      </c>
      <c r="H178" t="s">
        <v>51</v>
      </c>
      <c r="I178" t="s">
        <v>390</v>
      </c>
    </row>
    <row r="179" spans="1:9" x14ac:dyDescent="0.3">
      <c r="A179" t="s">
        <v>391</v>
      </c>
      <c r="B179" t="s">
        <v>66</v>
      </c>
      <c r="C179" t="s">
        <v>25</v>
      </c>
      <c r="D179">
        <v>26</v>
      </c>
      <c r="E179">
        <v>121944.37</v>
      </c>
      <c r="F179">
        <v>3170553.62</v>
      </c>
      <c r="G179" s="1">
        <v>45219</v>
      </c>
      <c r="I179" t="s">
        <v>392</v>
      </c>
    </row>
    <row r="180" spans="1:9" x14ac:dyDescent="0.3">
      <c r="A180" t="s">
        <v>393</v>
      </c>
      <c r="B180" t="s">
        <v>46</v>
      </c>
      <c r="C180" t="s">
        <v>25</v>
      </c>
      <c r="D180">
        <v>78</v>
      </c>
      <c r="E180">
        <v>128597.12</v>
      </c>
      <c r="F180">
        <v>10030575.359999999</v>
      </c>
      <c r="G180" s="1">
        <v>45708</v>
      </c>
      <c r="I180" t="s">
        <v>394</v>
      </c>
    </row>
    <row r="181" spans="1:9" x14ac:dyDescent="0.3">
      <c r="A181" t="s">
        <v>395</v>
      </c>
      <c r="B181" t="s">
        <v>57</v>
      </c>
      <c r="C181" t="s">
        <v>29</v>
      </c>
      <c r="E181">
        <v>98714.03</v>
      </c>
      <c r="G181" s="1">
        <v>45405</v>
      </c>
      <c r="I181" t="s">
        <v>396</v>
      </c>
    </row>
    <row r="182" spans="1:9" x14ac:dyDescent="0.3">
      <c r="A182" t="s">
        <v>397</v>
      </c>
      <c r="B182" t="s">
        <v>131</v>
      </c>
      <c r="C182" t="s">
        <v>50</v>
      </c>
      <c r="D182">
        <v>10</v>
      </c>
      <c r="G182" s="1">
        <v>45517</v>
      </c>
      <c r="I182" t="s">
        <v>398</v>
      </c>
    </row>
    <row r="183" spans="1:9" x14ac:dyDescent="0.3">
      <c r="A183" t="s">
        <v>399</v>
      </c>
      <c r="B183" t="s">
        <v>57</v>
      </c>
      <c r="C183" t="s">
        <v>29</v>
      </c>
      <c r="E183">
        <v>120549.56</v>
      </c>
      <c r="G183" s="1">
        <v>45554</v>
      </c>
      <c r="I183" t="s">
        <v>400</v>
      </c>
    </row>
    <row r="184" spans="1:9" x14ac:dyDescent="0.3">
      <c r="B184" t="s">
        <v>143</v>
      </c>
      <c r="C184" t="s">
        <v>59</v>
      </c>
      <c r="E184">
        <v>29067.84</v>
      </c>
      <c r="G184" s="1">
        <v>45200</v>
      </c>
      <c r="H184" t="s">
        <v>51</v>
      </c>
    </row>
    <row r="185" spans="1:9" x14ac:dyDescent="0.3">
      <c r="A185" t="s">
        <v>401</v>
      </c>
      <c r="B185" t="s">
        <v>115</v>
      </c>
      <c r="C185" t="s">
        <v>50</v>
      </c>
      <c r="E185">
        <v>294514.71999999997</v>
      </c>
      <c r="G185" s="1">
        <v>45365</v>
      </c>
      <c r="H185" t="s">
        <v>30</v>
      </c>
      <c r="I185" t="s">
        <v>402</v>
      </c>
    </row>
    <row r="186" spans="1:9" x14ac:dyDescent="0.3">
      <c r="A186" t="s">
        <v>403</v>
      </c>
      <c r="B186" t="s">
        <v>119</v>
      </c>
      <c r="C186" t="s">
        <v>235</v>
      </c>
      <c r="E186">
        <v>143497.5</v>
      </c>
      <c r="G186" s="1">
        <v>45305</v>
      </c>
      <c r="H186" t="s">
        <v>15</v>
      </c>
      <c r="I186" t="s">
        <v>404</v>
      </c>
    </row>
    <row r="187" spans="1:9" x14ac:dyDescent="0.3">
      <c r="A187" t="s">
        <v>405</v>
      </c>
      <c r="B187" t="s">
        <v>83</v>
      </c>
      <c r="C187" t="s">
        <v>29</v>
      </c>
      <c r="E187">
        <v>280779.7</v>
      </c>
      <c r="G187" s="1">
        <v>45480</v>
      </c>
      <c r="H187" t="s">
        <v>30</v>
      </c>
      <c r="I187" t="s">
        <v>406</v>
      </c>
    </row>
    <row r="188" spans="1:9" x14ac:dyDescent="0.3">
      <c r="A188" t="s">
        <v>407</v>
      </c>
      <c r="B188" t="s">
        <v>62</v>
      </c>
      <c r="C188" t="s">
        <v>29</v>
      </c>
      <c r="E188">
        <v>2545.62</v>
      </c>
      <c r="G188" s="1">
        <v>45213</v>
      </c>
      <c r="H188" t="s">
        <v>30</v>
      </c>
      <c r="I188" t="s">
        <v>408</v>
      </c>
    </row>
    <row r="189" spans="1:9" x14ac:dyDescent="0.3">
      <c r="A189" t="s">
        <v>409</v>
      </c>
      <c r="B189" t="s">
        <v>83</v>
      </c>
      <c r="C189" t="s">
        <v>19</v>
      </c>
      <c r="E189">
        <v>115380.53</v>
      </c>
      <c r="G189" s="1">
        <v>45325</v>
      </c>
      <c r="I189" t="s">
        <v>410</v>
      </c>
    </row>
    <row r="190" spans="1:9" x14ac:dyDescent="0.3">
      <c r="A190" t="s">
        <v>411</v>
      </c>
      <c r="B190" t="s">
        <v>33</v>
      </c>
      <c r="C190" t="s">
        <v>25</v>
      </c>
      <c r="E190">
        <v>134297.29</v>
      </c>
      <c r="G190" s="1">
        <v>45467</v>
      </c>
      <c r="I190" t="s">
        <v>412</v>
      </c>
    </row>
    <row r="191" spans="1:9" x14ac:dyDescent="0.3">
      <c r="A191" t="s">
        <v>413</v>
      </c>
      <c r="B191" t="s">
        <v>205</v>
      </c>
      <c r="C191" t="s">
        <v>25</v>
      </c>
      <c r="D191">
        <v>41</v>
      </c>
      <c r="E191">
        <v>80464.800000000003</v>
      </c>
      <c r="F191">
        <v>3299056.8</v>
      </c>
      <c r="G191" s="1">
        <v>45310</v>
      </c>
      <c r="H191" t="s">
        <v>51</v>
      </c>
      <c r="I191" t="s">
        <v>414</v>
      </c>
    </row>
    <row r="192" spans="1:9" x14ac:dyDescent="0.3">
      <c r="A192" t="s">
        <v>415</v>
      </c>
      <c r="B192" t="s">
        <v>22</v>
      </c>
      <c r="C192" t="s">
        <v>50</v>
      </c>
      <c r="D192">
        <v>57</v>
      </c>
      <c r="G192" s="1">
        <v>45227</v>
      </c>
      <c r="H192" t="s">
        <v>15</v>
      </c>
      <c r="I192" t="s">
        <v>416</v>
      </c>
    </row>
    <row r="193" spans="1:9" x14ac:dyDescent="0.3">
      <c r="A193" t="s">
        <v>417</v>
      </c>
      <c r="B193" t="s">
        <v>39</v>
      </c>
      <c r="C193" t="s">
        <v>29</v>
      </c>
      <c r="E193">
        <v>99222.78</v>
      </c>
      <c r="G193" s="1">
        <v>45193</v>
      </c>
      <c r="H193" t="s">
        <v>11</v>
      </c>
      <c r="I193" t="s">
        <v>418</v>
      </c>
    </row>
    <row r="194" spans="1:9" x14ac:dyDescent="0.3">
      <c r="A194" t="s">
        <v>419</v>
      </c>
      <c r="B194" t="s">
        <v>97</v>
      </c>
      <c r="C194" t="s">
        <v>172</v>
      </c>
      <c r="E194">
        <v>174947</v>
      </c>
      <c r="G194" s="1">
        <v>45157</v>
      </c>
      <c r="H194" t="s">
        <v>30</v>
      </c>
      <c r="I194" t="s">
        <v>420</v>
      </c>
    </row>
    <row r="195" spans="1:9" x14ac:dyDescent="0.3">
      <c r="A195" t="s">
        <v>421</v>
      </c>
      <c r="B195" t="s">
        <v>13</v>
      </c>
      <c r="C195" t="s">
        <v>29</v>
      </c>
      <c r="E195">
        <v>172076.77</v>
      </c>
      <c r="G195" s="1">
        <v>45343</v>
      </c>
      <c r="H195" t="s">
        <v>11</v>
      </c>
      <c r="I195" t="s">
        <v>422</v>
      </c>
    </row>
    <row r="196" spans="1:9" x14ac:dyDescent="0.3">
      <c r="A196" t="s">
        <v>423</v>
      </c>
      <c r="B196" t="s">
        <v>87</v>
      </c>
      <c r="C196" t="s">
        <v>59</v>
      </c>
      <c r="E196">
        <v>78835.17</v>
      </c>
      <c r="G196" s="1">
        <v>45416</v>
      </c>
      <c r="H196" t="s">
        <v>15</v>
      </c>
      <c r="I196" t="s">
        <v>424</v>
      </c>
    </row>
    <row r="197" spans="1:9" x14ac:dyDescent="0.3">
      <c r="B197" t="s">
        <v>36</v>
      </c>
      <c r="C197" t="s">
        <v>14</v>
      </c>
      <c r="D197">
        <v>65</v>
      </c>
      <c r="E197">
        <v>108185.85</v>
      </c>
      <c r="F197">
        <v>7032080.25</v>
      </c>
      <c r="G197" s="1">
        <v>45789</v>
      </c>
      <c r="H197" t="s">
        <v>30</v>
      </c>
      <c r="I197" t="s">
        <v>425</v>
      </c>
    </row>
    <row r="198" spans="1:9" x14ac:dyDescent="0.3">
      <c r="A198" t="s">
        <v>426</v>
      </c>
      <c r="B198" t="s">
        <v>22</v>
      </c>
      <c r="C198" t="s">
        <v>25</v>
      </c>
      <c r="E198">
        <v>71272.62</v>
      </c>
      <c r="G198" s="1">
        <v>45595</v>
      </c>
      <c r="H198" t="s">
        <v>11</v>
      </c>
    </row>
    <row r="199" spans="1:9" x14ac:dyDescent="0.3">
      <c r="A199" t="s">
        <v>427</v>
      </c>
      <c r="B199" t="s">
        <v>87</v>
      </c>
      <c r="C199" t="s">
        <v>98</v>
      </c>
      <c r="D199">
        <v>58</v>
      </c>
      <c r="E199">
        <v>200501.94</v>
      </c>
      <c r="F199">
        <v>11629112.52</v>
      </c>
      <c r="G199" s="1">
        <v>45442</v>
      </c>
      <c r="H199" t="s">
        <v>11</v>
      </c>
      <c r="I199" t="s">
        <v>428</v>
      </c>
    </row>
    <row r="200" spans="1:9" x14ac:dyDescent="0.3">
      <c r="A200" t="s">
        <v>429</v>
      </c>
      <c r="B200" t="s">
        <v>205</v>
      </c>
      <c r="C200" t="s">
        <v>14</v>
      </c>
      <c r="E200">
        <v>139885.79999999999</v>
      </c>
      <c r="G200" s="1">
        <v>45310</v>
      </c>
      <c r="H200" t="s">
        <v>51</v>
      </c>
      <c r="I200" t="s">
        <v>430</v>
      </c>
    </row>
    <row r="201" spans="1:9" x14ac:dyDescent="0.3">
      <c r="A201" t="s">
        <v>431</v>
      </c>
      <c r="B201" t="s">
        <v>13</v>
      </c>
      <c r="C201" t="s">
        <v>25</v>
      </c>
      <c r="D201">
        <v>37</v>
      </c>
      <c r="E201">
        <v>48335.19</v>
      </c>
      <c r="F201">
        <v>1788402.03</v>
      </c>
      <c r="G201" s="1">
        <v>45790</v>
      </c>
      <c r="H201" t="s">
        <v>15</v>
      </c>
      <c r="I201" t="s">
        <v>432</v>
      </c>
    </row>
    <row r="202" spans="1:9" x14ac:dyDescent="0.3">
      <c r="A202" t="s">
        <v>433</v>
      </c>
      <c r="B202" t="s">
        <v>39</v>
      </c>
      <c r="C202" t="s">
        <v>138</v>
      </c>
      <c r="D202">
        <v>83</v>
      </c>
      <c r="G202" s="1">
        <v>45818</v>
      </c>
      <c r="H202" t="s">
        <v>15</v>
      </c>
      <c r="I202" t="s">
        <v>434</v>
      </c>
    </row>
    <row r="203" spans="1:9" x14ac:dyDescent="0.3">
      <c r="A203" t="s">
        <v>435</v>
      </c>
      <c r="B203" t="s">
        <v>49</v>
      </c>
      <c r="C203" t="s">
        <v>98</v>
      </c>
      <c r="E203">
        <v>205979.05</v>
      </c>
      <c r="G203" s="1">
        <v>45242</v>
      </c>
      <c r="H203" t="s">
        <v>15</v>
      </c>
      <c r="I203" t="s">
        <v>436</v>
      </c>
    </row>
    <row r="204" spans="1:9" x14ac:dyDescent="0.3">
      <c r="A204" t="s">
        <v>437</v>
      </c>
      <c r="B204" t="s">
        <v>22</v>
      </c>
      <c r="C204" t="s">
        <v>25</v>
      </c>
      <c r="E204">
        <v>276970.25</v>
      </c>
      <c r="G204" s="1">
        <v>45749</v>
      </c>
      <c r="H204" t="s">
        <v>30</v>
      </c>
      <c r="I204" t="s">
        <v>438</v>
      </c>
    </row>
    <row r="205" spans="1:9" x14ac:dyDescent="0.3">
      <c r="A205" t="s">
        <v>439</v>
      </c>
      <c r="B205" t="s">
        <v>39</v>
      </c>
      <c r="C205" t="s">
        <v>14</v>
      </c>
      <c r="E205">
        <v>266396.52</v>
      </c>
      <c r="G205" s="1">
        <v>45372</v>
      </c>
      <c r="H205" t="s">
        <v>51</v>
      </c>
      <c r="I205" t="s">
        <v>440</v>
      </c>
    </row>
    <row r="206" spans="1:9" x14ac:dyDescent="0.3">
      <c r="A206" t="s">
        <v>441</v>
      </c>
      <c r="B206" t="s">
        <v>49</v>
      </c>
      <c r="C206" t="s">
        <v>19</v>
      </c>
      <c r="E206">
        <v>231067.39</v>
      </c>
      <c r="G206" s="1">
        <v>45843</v>
      </c>
      <c r="I206" t="s">
        <v>442</v>
      </c>
    </row>
    <row r="207" spans="1:9" x14ac:dyDescent="0.3">
      <c r="A207" t="s">
        <v>443</v>
      </c>
      <c r="B207" t="s">
        <v>97</v>
      </c>
      <c r="C207" t="s">
        <v>50</v>
      </c>
      <c r="E207">
        <v>207241.97</v>
      </c>
      <c r="G207" s="1">
        <v>45566</v>
      </c>
      <c r="H207" t="s">
        <v>30</v>
      </c>
      <c r="I207" t="s">
        <v>444</v>
      </c>
    </row>
    <row r="208" spans="1:9" x14ac:dyDescent="0.3">
      <c r="A208" t="s">
        <v>445</v>
      </c>
      <c r="B208" t="s">
        <v>39</v>
      </c>
      <c r="C208" t="s">
        <v>98</v>
      </c>
      <c r="E208">
        <v>191794.04</v>
      </c>
      <c r="G208" s="1">
        <v>45678</v>
      </c>
      <c r="H208" t="s">
        <v>15</v>
      </c>
      <c r="I208" t="s">
        <v>446</v>
      </c>
    </row>
    <row r="209" spans="1:9" x14ac:dyDescent="0.3">
      <c r="A209" t="s">
        <v>447</v>
      </c>
      <c r="B209" t="s">
        <v>448</v>
      </c>
      <c r="C209" t="s">
        <v>25</v>
      </c>
      <c r="E209">
        <v>282220.37</v>
      </c>
      <c r="G209" s="1">
        <v>45360</v>
      </c>
      <c r="H209" t="s">
        <v>30</v>
      </c>
      <c r="I209" t="s">
        <v>449</v>
      </c>
    </row>
    <row r="210" spans="1:9" x14ac:dyDescent="0.3">
      <c r="B210" t="s">
        <v>22</v>
      </c>
      <c r="C210" t="s">
        <v>10</v>
      </c>
      <c r="E210">
        <v>110579.4</v>
      </c>
      <c r="G210" s="1">
        <v>45265</v>
      </c>
      <c r="H210" t="s">
        <v>11</v>
      </c>
      <c r="I210" t="s">
        <v>450</v>
      </c>
    </row>
    <row r="211" spans="1:9" x14ac:dyDescent="0.3">
      <c r="A211" t="s">
        <v>451</v>
      </c>
      <c r="B211" t="s">
        <v>18</v>
      </c>
      <c r="C211" t="s">
        <v>19</v>
      </c>
      <c r="D211">
        <v>65</v>
      </c>
      <c r="E211">
        <v>66644.350000000006</v>
      </c>
      <c r="F211">
        <v>4331882.75</v>
      </c>
      <c r="G211" s="1">
        <v>45710</v>
      </c>
      <c r="H211" t="s">
        <v>30</v>
      </c>
      <c r="I211" t="s">
        <v>452</v>
      </c>
    </row>
    <row r="212" spans="1:9" x14ac:dyDescent="0.3">
      <c r="A212" t="s">
        <v>453</v>
      </c>
      <c r="B212" t="s">
        <v>230</v>
      </c>
      <c r="C212" t="s">
        <v>19</v>
      </c>
      <c r="G212" s="1">
        <v>45241</v>
      </c>
      <c r="H212" t="s">
        <v>30</v>
      </c>
    </row>
    <row r="213" spans="1:9" x14ac:dyDescent="0.3">
      <c r="A213" t="s">
        <v>454</v>
      </c>
      <c r="B213" t="s">
        <v>57</v>
      </c>
      <c r="C213" t="s">
        <v>59</v>
      </c>
      <c r="E213">
        <v>287229.48</v>
      </c>
      <c r="G213" s="1">
        <v>45505</v>
      </c>
      <c r="H213" t="s">
        <v>15</v>
      </c>
      <c r="I213" t="s">
        <v>455</v>
      </c>
    </row>
    <row r="214" spans="1:9" x14ac:dyDescent="0.3">
      <c r="A214" t="s">
        <v>456</v>
      </c>
      <c r="B214" t="s">
        <v>36</v>
      </c>
      <c r="C214" t="s">
        <v>14</v>
      </c>
      <c r="D214">
        <v>92</v>
      </c>
      <c r="E214">
        <v>143715.48000000001</v>
      </c>
      <c r="F214">
        <v>13221824.16</v>
      </c>
      <c r="G214" s="1">
        <v>45517</v>
      </c>
      <c r="H214" t="s">
        <v>11</v>
      </c>
      <c r="I214" t="s">
        <v>457</v>
      </c>
    </row>
    <row r="215" spans="1:9" x14ac:dyDescent="0.3">
      <c r="A215" t="s">
        <v>458</v>
      </c>
      <c r="B215" t="s">
        <v>28</v>
      </c>
      <c r="C215" t="s">
        <v>98</v>
      </c>
      <c r="E215">
        <v>136766.10999999999</v>
      </c>
      <c r="G215" s="1">
        <v>45480</v>
      </c>
      <c r="H215" t="s">
        <v>15</v>
      </c>
      <c r="I215" t="s">
        <v>459</v>
      </c>
    </row>
    <row r="216" spans="1:9" x14ac:dyDescent="0.3">
      <c r="A216" t="s">
        <v>460</v>
      </c>
      <c r="B216" t="s">
        <v>87</v>
      </c>
      <c r="C216" t="s">
        <v>25</v>
      </c>
      <c r="D216">
        <v>23</v>
      </c>
      <c r="E216">
        <v>296656.96999999997</v>
      </c>
      <c r="F216">
        <v>6823110.3099999996</v>
      </c>
      <c r="G216" s="1">
        <v>45505</v>
      </c>
      <c r="H216" t="s">
        <v>11</v>
      </c>
      <c r="I216" t="s">
        <v>461</v>
      </c>
    </row>
    <row r="217" spans="1:9" x14ac:dyDescent="0.3">
      <c r="A217" t="s">
        <v>462</v>
      </c>
      <c r="B217" t="s">
        <v>87</v>
      </c>
      <c r="C217" t="s">
        <v>19</v>
      </c>
      <c r="E217">
        <v>112400.64</v>
      </c>
      <c r="G217" s="1">
        <v>45800</v>
      </c>
      <c r="H217" t="s">
        <v>11</v>
      </c>
      <c r="I217" t="s">
        <v>463</v>
      </c>
    </row>
    <row r="218" spans="1:9" x14ac:dyDescent="0.3">
      <c r="A218" t="s">
        <v>464</v>
      </c>
      <c r="B218" t="s">
        <v>465</v>
      </c>
      <c r="C218" t="s">
        <v>84</v>
      </c>
      <c r="E218">
        <v>210731.25</v>
      </c>
      <c r="G218" s="1">
        <v>45357</v>
      </c>
      <c r="H218" t="s">
        <v>11</v>
      </c>
      <c r="I218" t="s">
        <v>466</v>
      </c>
    </row>
    <row r="219" spans="1:9" x14ac:dyDescent="0.3">
      <c r="A219" t="s">
        <v>467</v>
      </c>
      <c r="B219" t="s">
        <v>22</v>
      </c>
      <c r="C219" t="s">
        <v>50</v>
      </c>
      <c r="E219">
        <v>273882.67</v>
      </c>
      <c r="G219" s="1">
        <v>45504</v>
      </c>
      <c r="H219" t="s">
        <v>15</v>
      </c>
      <c r="I219" t="s">
        <v>468</v>
      </c>
    </row>
    <row r="220" spans="1:9" x14ac:dyDescent="0.3">
      <c r="A220" t="s">
        <v>469</v>
      </c>
      <c r="B220" t="s">
        <v>230</v>
      </c>
      <c r="C220" t="s">
        <v>76</v>
      </c>
      <c r="D220">
        <v>79</v>
      </c>
      <c r="E220">
        <v>227326.48</v>
      </c>
      <c r="F220">
        <v>17958791.920000002</v>
      </c>
      <c r="G220" s="1">
        <v>45136</v>
      </c>
      <c r="H220" t="s">
        <v>11</v>
      </c>
      <c r="I220" t="s">
        <v>470</v>
      </c>
    </row>
    <row r="221" spans="1:9" x14ac:dyDescent="0.3">
      <c r="A221" t="s">
        <v>471</v>
      </c>
      <c r="B221" t="s">
        <v>46</v>
      </c>
      <c r="C221" t="s">
        <v>19</v>
      </c>
      <c r="E221">
        <v>240697.5</v>
      </c>
      <c r="G221" s="1">
        <v>45187</v>
      </c>
      <c r="H221" t="s">
        <v>51</v>
      </c>
      <c r="I221" t="s">
        <v>472</v>
      </c>
    </row>
    <row r="222" spans="1:9" x14ac:dyDescent="0.3">
      <c r="A222" t="s">
        <v>473</v>
      </c>
      <c r="B222" t="s">
        <v>57</v>
      </c>
      <c r="C222" t="s">
        <v>50</v>
      </c>
      <c r="G222" s="1">
        <v>45423</v>
      </c>
      <c r="H222" t="s">
        <v>51</v>
      </c>
      <c r="I222" t="s">
        <v>474</v>
      </c>
    </row>
    <row r="223" spans="1:9" x14ac:dyDescent="0.3">
      <c r="B223" t="s">
        <v>33</v>
      </c>
      <c r="C223" t="s">
        <v>98</v>
      </c>
      <c r="E223">
        <v>247768.25</v>
      </c>
      <c r="G223" s="1">
        <v>45510</v>
      </c>
      <c r="I223" t="s">
        <v>475</v>
      </c>
    </row>
    <row r="224" spans="1:9" x14ac:dyDescent="0.3">
      <c r="A224" t="s">
        <v>476</v>
      </c>
      <c r="B224" t="s">
        <v>33</v>
      </c>
      <c r="C224" t="s">
        <v>14</v>
      </c>
      <c r="E224">
        <v>228676.96</v>
      </c>
      <c r="G224" s="1">
        <v>45473</v>
      </c>
      <c r="H224" t="s">
        <v>51</v>
      </c>
      <c r="I224" t="s">
        <v>477</v>
      </c>
    </row>
    <row r="225" spans="1:9" x14ac:dyDescent="0.3">
      <c r="A225" t="s">
        <v>478</v>
      </c>
      <c r="B225" t="s">
        <v>46</v>
      </c>
      <c r="C225" t="s">
        <v>14</v>
      </c>
      <c r="E225">
        <v>204262.41</v>
      </c>
      <c r="G225" s="1">
        <v>45304</v>
      </c>
      <c r="I225" t="s">
        <v>479</v>
      </c>
    </row>
    <row r="226" spans="1:9" x14ac:dyDescent="0.3">
      <c r="A226" t="s">
        <v>480</v>
      </c>
      <c r="B226" t="s">
        <v>119</v>
      </c>
      <c r="C226" t="s">
        <v>172</v>
      </c>
      <c r="E226">
        <v>178946.43</v>
      </c>
      <c r="G226" s="1">
        <v>45285</v>
      </c>
      <c r="H226" t="s">
        <v>51</v>
      </c>
    </row>
    <row r="227" spans="1:9" x14ac:dyDescent="0.3">
      <c r="A227" t="s">
        <v>481</v>
      </c>
      <c r="B227" t="s">
        <v>311</v>
      </c>
      <c r="C227" t="s">
        <v>50</v>
      </c>
      <c r="E227">
        <v>236317.52</v>
      </c>
      <c r="G227" s="1">
        <v>45571</v>
      </c>
      <c r="H227" t="s">
        <v>15</v>
      </c>
      <c r="I227" t="s">
        <v>482</v>
      </c>
    </row>
    <row r="228" spans="1:9" x14ac:dyDescent="0.3">
      <c r="A228" t="s">
        <v>483</v>
      </c>
      <c r="B228" t="s">
        <v>46</v>
      </c>
      <c r="C228" t="s">
        <v>29</v>
      </c>
      <c r="E228">
        <v>157889.24</v>
      </c>
      <c r="G228" s="1">
        <v>45392</v>
      </c>
      <c r="I228" t="s">
        <v>484</v>
      </c>
    </row>
    <row r="229" spans="1:9" x14ac:dyDescent="0.3">
      <c r="A229" t="s">
        <v>485</v>
      </c>
      <c r="B229" t="s">
        <v>83</v>
      </c>
      <c r="C229" t="s">
        <v>50</v>
      </c>
      <c r="E229">
        <v>158687.85</v>
      </c>
      <c r="G229" s="1">
        <v>45155</v>
      </c>
      <c r="H229" t="s">
        <v>30</v>
      </c>
      <c r="I229" t="s">
        <v>486</v>
      </c>
    </row>
    <row r="230" spans="1:9" x14ac:dyDescent="0.3">
      <c r="A230" t="s">
        <v>487</v>
      </c>
      <c r="B230" t="s">
        <v>49</v>
      </c>
      <c r="C230" t="s">
        <v>76</v>
      </c>
      <c r="E230">
        <v>108854.57</v>
      </c>
      <c r="G230" s="1">
        <v>45157</v>
      </c>
      <c r="H230" t="s">
        <v>30</v>
      </c>
      <c r="I230" t="s">
        <v>488</v>
      </c>
    </row>
    <row r="231" spans="1:9" x14ac:dyDescent="0.3">
      <c r="A231" t="s">
        <v>489</v>
      </c>
      <c r="B231" t="s">
        <v>33</v>
      </c>
      <c r="C231" t="s">
        <v>29</v>
      </c>
      <c r="E231">
        <v>275214.78999999998</v>
      </c>
      <c r="G231" s="1">
        <v>45336</v>
      </c>
      <c r="H231" t="s">
        <v>51</v>
      </c>
      <c r="I231" t="s">
        <v>490</v>
      </c>
    </row>
    <row r="232" spans="1:9" x14ac:dyDescent="0.3">
      <c r="A232" t="s">
        <v>491</v>
      </c>
      <c r="B232" t="s">
        <v>49</v>
      </c>
      <c r="C232" t="s">
        <v>76</v>
      </c>
      <c r="D232">
        <v>78</v>
      </c>
      <c r="G232" s="1">
        <v>45502</v>
      </c>
      <c r="H232" t="s">
        <v>30</v>
      </c>
      <c r="I232" t="s">
        <v>492</v>
      </c>
    </row>
    <row r="233" spans="1:9" x14ac:dyDescent="0.3">
      <c r="A233" t="s">
        <v>493</v>
      </c>
      <c r="B233" t="s">
        <v>115</v>
      </c>
      <c r="C233" t="s">
        <v>19</v>
      </c>
      <c r="D233">
        <v>43</v>
      </c>
      <c r="E233">
        <v>34106.53</v>
      </c>
      <c r="F233">
        <v>1466580.79</v>
      </c>
      <c r="G233" s="1">
        <v>45582</v>
      </c>
      <c r="H233" t="s">
        <v>51</v>
      </c>
      <c r="I233" t="s">
        <v>494</v>
      </c>
    </row>
    <row r="234" spans="1:9" x14ac:dyDescent="0.3">
      <c r="A234" t="s">
        <v>495</v>
      </c>
      <c r="B234" t="s">
        <v>97</v>
      </c>
      <c r="C234" t="s">
        <v>10</v>
      </c>
      <c r="E234">
        <v>248717.83</v>
      </c>
      <c r="G234" s="1">
        <v>45803</v>
      </c>
      <c r="H234" t="s">
        <v>51</v>
      </c>
      <c r="I234" t="s">
        <v>496</v>
      </c>
    </row>
    <row r="235" spans="1:9" x14ac:dyDescent="0.3">
      <c r="A235" t="s">
        <v>497</v>
      </c>
      <c r="B235" t="s">
        <v>33</v>
      </c>
      <c r="C235" t="s">
        <v>25</v>
      </c>
      <c r="E235">
        <v>270915</v>
      </c>
      <c r="G235" s="1">
        <v>45772</v>
      </c>
      <c r="H235" t="s">
        <v>30</v>
      </c>
      <c r="I235" t="s">
        <v>498</v>
      </c>
    </row>
    <row r="236" spans="1:9" x14ac:dyDescent="0.3">
      <c r="B236" t="s">
        <v>205</v>
      </c>
      <c r="C236" t="s">
        <v>76</v>
      </c>
      <c r="E236">
        <v>61045.96</v>
      </c>
      <c r="G236" s="1">
        <v>45626</v>
      </c>
      <c r="H236" t="s">
        <v>30</v>
      </c>
      <c r="I236" t="s">
        <v>499</v>
      </c>
    </row>
    <row r="237" spans="1:9" x14ac:dyDescent="0.3">
      <c r="A237" t="s">
        <v>500</v>
      </c>
      <c r="B237" t="s">
        <v>57</v>
      </c>
      <c r="C237" t="s">
        <v>25</v>
      </c>
      <c r="E237">
        <v>161229.72</v>
      </c>
      <c r="G237" s="1">
        <v>45640</v>
      </c>
      <c r="H237" t="s">
        <v>11</v>
      </c>
      <c r="I237" t="s">
        <v>501</v>
      </c>
    </row>
    <row r="238" spans="1:9" x14ac:dyDescent="0.3">
      <c r="A238" t="s">
        <v>502</v>
      </c>
      <c r="B238" t="s">
        <v>57</v>
      </c>
      <c r="C238" t="s">
        <v>98</v>
      </c>
      <c r="D238">
        <v>51</v>
      </c>
      <c r="E238">
        <v>49778.879999999997</v>
      </c>
      <c r="F238">
        <v>2538722.88</v>
      </c>
      <c r="G238" s="1">
        <v>45483</v>
      </c>
      <c r="I238" t="s">
        <v>503</v>
      </c>
    </row>
    <row r="239" spans="1:9" x14ac:dyDescent="0.3">
      <c r="A239" t="s">
        <v>504</v>
      </c>
      <c r="B239" t="s">
        <v>36</v>
      </c>
      <c r="C239" t="s">
        <v>50</v>
      </c>
      <c r="E239">
        <v>256418.56</v>
      </c>
      <c r="G239" s="1">
        <v>45339</v>
      </c>
      <c r="H239" t="s">
        <v>51</v>
      </c>
      <c r="I239" t="s">
        <v>505</v>
      </c>
    </row>
    <row r="240" spans="1:9" x14ac:dyDescent="0.3">
      <c r="A240" t="s">
        <v>506</v>
      </c>
      <c r="B240" t="s">
        <v>83</v>
      </c>
      <c r="C240" t="s">
        <v>29</v>
      </c>
      <c r="E240">
        <v>132831.25</v>
      </c>
      <c r="G240" s="1">
        <v>45534</v>
      </c>
      <c r="H240" t="s">
        <v>30</v>
      </c>
    </row>
    <row r="241" spans="1:9" x14ac:dyDescent="0.3">
      <c r="A241" t="s">
        <v>507</v>
      </c>
      <c r="B241" t="s">
        <v>28</v>
      </c>
      <c r="C241" t="s">
        <v>29</v>
      </c>
      <c r="E241">
        <v>204248.42</v>
      </c>
      <c r="G241" s="1">
        <v>45124</v>
      </c>
      <c r="I241" t="s">
        <v>508</v>
      </c>
    </row>
    <row r="242" spans="1:9" x14ac:dyDescent="0.3">
      <c r="A242" t="s">
        <v>509</v>
      </c>
      <c r="B242" t="s">
        <v>46</v>
      </c>
      <c r="C242" t="s">
        <v>172</v>
      </c>
      <c r="G242" s="1">
        <v>45776</v>
      </c>
      <c r="H242" t="s">
        <v>30</v>
      </c>
      <c r="I242" t="s">
        <v>510</v>
      </c>
    </row>
    <row r="243" spans="1:9" x14ac:dyDescent="0.3">
      <c r="A243" t="s">
        <v>511</v>
      </c>
      <c r="B243" t="s">
        <v>93</v>
      </c>
      <c r="C243" t="s">
        <v>50</v>
      </c>
      <c r="E243">
        <v>215216.93</v>
      </c>
      <c r="G243" s="1">
        <v>45201</v>
      </c>
      <c r="H243" t="s">
        <v>30</v>
      </c>
      <c r="I243" t="s">
        <v>512</v>
      </c>
    </row>
    <row r="244" spans="1:9" x14ac:dyDescent="0.3">
      <c r="A244" t="s">
        <v>513</v>
      </c>
      <c r="B244" t="s">
        <v>18</v>
      </c>
      <c r="C244" t="s">
        <v>14</v>
      </c>
      <c r="E244">
        <v>146903.98000000001</v>
      </c>
      <c r="G244" s="1">
        <v>45452</v>
      </c>
      <c r="H244" t="s">
        <v>11</v>
      </c>
      <c r="I244" t="s">
        <v>514</v>
      </c>
    </row>
    <row r="245" spans="1:9" x14ac:dyDescent="0.3">
      <c r="A245" t="s">
        <v>515</v>
      </c>
      <c r="B245" t="s">
        <v>516</v>
      </c>
      <c r="C245" t="s">
        <v>29</v>
      </c>
      <c r="E245">
        <v>269717.36</v>
      </c>
      <c r="G245" s="1">
        <v>45222</v>
      </c>
      <c r="H245" t="s">
        <v>51</v>
      </c>
      <c r="I245" t="s">
        <v>517</v>
      </c>
    </row>
    <row r="246" spans="1:9" x14ac:dyDescent="0.3">
      <c r="A246" t="s">
        <v>518</v>
      </c>
      <c r="B246" t="s">
        <v>22</v>
      </c>
      <c r="C246" t="s">
        <v>14</v>
      </c>
      <c r="E246">
        <v>133922.07</v>
      </c>
      <c r="G246" s="1">
        <v>45803</v>
      </c>
      <c r="H246" t="s">
        <v>51</v>
      </c>
      <c r="I246" t="s">
        <v>519</v>
      </c>
    </row>
    <row r="247" spans="1:9" x14ac:dyDescent="0.3">
      <c r="A247" t="s">
        <v>520</v>
      </c>
      <c r="B247" t="s">
        <v>39</v>
      </c>
      <c r="C247" t="s">
        <v>50</v>
      </c>
      <c r="E247">
        <v>17162.919999999998</v>
      </c>
      <c r="G247" s="1">
        <v>45323</v>
      </c>
      <c r="H247" t="s">
        <v>15</v>
      </c>
      <c r="I247" t="s">
        <v>521</v>
      </c>
    </row>
    <row r="248" spans="1:9" x14ac:dyDescent="0.3">
      <c r="A248" t="s">
        <v>522</v>
      </c>
      <c r="B248" t="s">
        <v>83</v>
      </c>
      <c r="C248" t="s">
        <v>14</v>
      </c>
      <c r="E248">
        <v>40017.33</v>
      </c>
      <c r="G248" s="1">
        <v>45683</v>
      </c>
      <c r="H248" t="s">
        <v>11</v>
      </c>
      <c r="I248" t="s">
        <v>523</v>
      </c>
    </row>
    <row r="249" spans="1:9" x14ac:dyDescent="0.3">
      <c r="B249" t="s">
        <v>36</v>
      </c>
      <c r="C249" t="s">
        <v>98</v>
      </c>
      <c r="E249">
        <v>124919.66</v>
      </c>
      <c r="G249" s="1">
        <v>45402</v>
      </c>
      <c r="I249" t="s">
        <v>524</v>
      </c>
    </row>
    <row r="250" spans="1:9" x14ac:dyDescent="0.3">
      <c r="A250" t="s">
        <v>525</v>
      </c>
      <c r="B250" t="s">
        <v>33</v>
      </c>
      <c r="C250" t="s">
        <v>103</v>
      </c>
      <c r="D250">
        <v>40</v>
      </c>
      <c r="E250">
        <v>169391.4</v>
      </c>
      <c r="F250">
        <v>6775656</v>
      </c>
      <c r="G250" s="1">
        <v>45711</v>
      </c>
      <c r="H250" t="s">
        <v>11</v>
      </c>
      <c r="I250" t="s">
        <v>526</v>
      </c>
    </row>
    <row r="251" spans="1:9" x14ac:dyDescent="0.3">
      <c r="A251" t="s">
        <v>527</v>
      </c>
      <c r="B251" t="s">
        <v>49</v>
      </c>
      <c r="C251" t="s">
        <v>19</v>
      </c>
      <c r="E251">
        <v>167859.76</v>
      </c>
      <c r="G251" s="1">
        <v>45431</v>
      </c>
      <c r="I251" t="s">
        <v>528</v>
      </c>
    </row>
    <row r="252" spans="1:9" x14ac:dyDescent="0.3">
      <c r="A252" t="s">
        <v>529</v>
      </c>
      <c r="B252" t="s">
        <v>36</v>
      </c>
      <c r="C252" t="s">
        <v>19</v>
      </c>
      <c r="G252" s="1">
        <v>45402</v>
      </c>
      <c r="H252" t="s">
        <v>51</v>
      </c>
      <c r="I252" t="s">
        <v>530</v>
      </c>
    </row>
    <row r="253" spans="1:9" x14ac:dyDescent="0.3">
      <c r="A253" t="s">
        <v>531</v>
      </c>
      <c r="B253" t="s">
        <v>13</v>
      </c>
      <c r="C253" t="s">
        <v>25</v>
      </c>
      <c r="D253">
        <v>25</v>
      </c>
      <c r="E253">
        <v>201993.93</v>
      </c>
      <c r="F253">
        <v>5049848.25</v>
      </c>
      <c r="G253" s="1">
        <v>45153</v>
      </c>
      <c r="H253" t="s">
        <v>15</v>
      </c>
      <c r="I253" t="s">
        <v>532</v>
      </c>
    </row>
    <row r="254" spans="1:9" x14ac:dyDescent="0.3">
      <c r="A254" t="s">
        <v>533</v>
      </c>
      <c r="B254" t="s">
        <v>112</v>
      </c>
      <c r="C254" t="s">
        <v>98</v>
      </c>
      <c r="D254">
        <v>18</v>
      </c>
      <c r="E254">
        <v>92796.78</v>
      </c>
      <c r="F254">
        <v>1670342.04</v>
      </c>
      <c r="G254" s="1">
        <v>45429</v>
      </c>
      <c r="H254" t="s">
        <v>15</v>
      </c>
    </row>
    <row r="255" spans="1:9" x14ac:dyDescent="0.3">
      <c r="A255" t="s">
        <v>534</v>
      </c>
      <c r="B255" t="s">
        <v>22</v>
      </c>
      <c r="C255" t="s">
        <v>29</v>
      </c>
      <c r="E255">
        <v>7020.25</v>
      </c>
      <c r="G255" s="1">
        <v>45157</v>
      </c>
      <c r="H255" t="s">
        <v>51</v>
      </c>
      <c r="I255" t="s">
        <v>535</v>
      </c>
    </row>
    <row r="256" spans="1:9" x14ac:dyDescent="0.3">
      <c r="A256" t="s">
        <v>536</v>
      </c>
      <c r="B256" t="s">
        <v>93</v>
      </c>
      <c r="C256" t="s">
        <v>25</v>
      </c>
      <c r="E256">
        <v>76709.94</v>
      </c>
      <c r="G256" s="1">
        <v>45560</v>
      </c>
      <c r="H256" t="s">
        <v>30</v>
      </c>
      <c r="I256" t="s">
        <v>537</v>
      </c>
    </row>
    <row r="257" spans="1:9" x14ac:dyDescent="0.3">
      <c r="A257" t="s">
        <v>538</v>
      </c>
      <c r="B257" t="s">
        <v>46</v>
      </c>
      <c r="C257" t="s">
        <v>25</v>
      </c>
      <c r="E257">
        <v>1403.13</v>
      </c>
      <c r="G257" s="1">
        <v>45554</v>
      </c>
      <c r="H257" t="s">
        <v>11</v>
      </c>
      <c r="I257" t="s">
        <v>539</v>
      </c>
    </row>
    <row r="258" spans="1:9" x14ac:dyDescent="0.3">
      <c r="A258" t="s">
        <v>540</v>
      </c>
      <c r="B258" t="s">
        <v>230</v>
      </c>
      <c r="C258" t="s">
        <v>10</v>
      </c>
      <c r="E258">
        <v>65761.440000000002</v>
      </c>
      <c r="G258" s="1">
        <v>45269</v>
      </c>
      <c r="H258" t="s">
        <v>15</v>
      </c>
      <c r="I258" t="s">
        <v>541</v>
      </c>
    </row>
    <row r="259" spans="1:9" x14ac:dyDescent="0.3">
      <c r="A259" t="s">
        <v>542</v>
      </c>
      <c r="B259" t="s">
        <v>230</v>
      </c>
      <c r="C259" t="s">
        <v>50</v>
      </c>
      <c r="E259">
        <v>22372.34</v>
      </c>
      <c r="G259" s="1">
        <v>45399</v>
      </c>
      <c r="H259" t="s">
        <v>30</v>
      </c>
      <c r="I259" t="s">
        <v>543</v>
      </c>
    </row>
    <row r="260" spans="1:9" x14ac:dyDescent="0.3">
      <c r="A260" t="s">
        <v>544</v>
      </c>
      <c r="B260" t="s">
        <v>57</v>
      </c>
      <c r="C260" t="s">
        <v>29</v>
      </c>
      <c r="E260">
        <v>127397.37</v>
      </c>
      <c r="G260" s="1">
        <v>45547</v>
      </c>
      <c r="I260" t="s">
        <v>545</v>
      </c>
    </row>
    <row r="261" spans="1:9" x14ac:dyDescent="0.3">
      <c r="A261" t="s">
        <v>546</v>
      </c>
      <c r="B261" t="s">
        <v>115</v>
      </c>
      <c r="C261" t="s">
        <v>25</v>
      </c>
      <c r="E261">
        <v>210265.27</v>
      </c>
      <c r="G261" s="1">
        <v>45342</v>
      </c>
      <c r="H261" t="s">
        <v>15</v>
      </c>
      <c r="I261" t="s">
        <v>547</v>
      </c>
    </row>
    <row r="262" spans="1:9" x14ac:dyDescent="0.3">
      <c r="B262" t="s">
        <v>49</v>
      </c>
      <c r="C262" t="s">
        <v>29</v>
      </c>
      <c r="D262">
        <v>49</v>
      </c>
      <c r="G262" s="1">
        <v>45175</v>
      </c>
      <c r="I262" t="s">
        <v>548</v>
      </c>
    </row>
    <row r="263" spans="1:9" x14ac:dyDescent="0.3">
      <c r="A263" t="s">
        <v>549</v>
      </c>
      <c r="B263" t="s">
        <v>276</v>
      </c>
      <c r="C263" t="s">
        <v>76</v>
      </c>
      <c r="D263">
        <v>21</v>
      </c>
      <c r="E263">
        <v>162578.47</v>
      </c>
      <c r="F263">
        <v>3414147.87</v>
      </c>
      <c r="G263" s="1">
        <v>45418</v>
      </c>
      <c r="H263" t="s">
        <v>30</v>
      </c>
      <c r="I263" t="s">
        <v>550</v>
      </c>
    </row>
    <row r="264" spans="1:9" x14ac:dyDescent="0.3">
      <c r="A264" t="s">
        <v>551</v>
      </c>
      <c r="B264" t="s">
        <v>115</v>
      </c>
      <c r="C264" t="s">
        <v>50</v>
      </c>
      <c r="E264">
        <v>18546.560000000001</v>
      </c>
      <c r="G264" s="1">
        <v>45509</v>
      </c>
      <c r="I264" t="s">
        <v>552</v>
      </c>
    </row>
    <row r="265" spans="1:9" x14ac:dyDescent="0.3">
      <c r="A265" t="s">
        <v>553</v>
      </c>
      <c r="B265" t="s">
        <v>13</v>
      </c>
      <c r="C265" t="s">
        <v>29</v>
      </c>
      <c r="E265">
        <v>268318.42</v>
      </c>
      <c r="G265" s="1">
        <v>45467</v>
      </c>
      <c r="H265" t="s">
        <v>30</v>
      </c>
      <c r="I265" t="s">
        <v>554</v>
      </c>
    </row>
    <row r="266" spans="1:9" x14ac:dyDescent="0.3">
      <c r="A266" t="s">
        <v>555</v>
      </c>
      <c r="B266" t="s">
        <v>115</v>
      </c>
      <c r="C266" t="s">
        <v>235</v>
      </c>
      <c r="D266">
        <v>57</v>
      </c>
      <c r="E266">
        <v>295848.11</v>
      </c>
      <c r="F266">
        <v>16863342.27</v>
      </c>
      <c r="G266" s="1">
        <v>45711</v>
      </c>
      <c r="I266" t="s">
        <v>556</v>
      </c>
    </row>
    <row r="267" spans="1:9" x14ac:dyDescent="0.3">
      <c r="A267" t="s">
        <v>557</v>
      </c>
      <c r="B267" t="s">
        <v>18</v>
      </c>
      <c r="C267" t="s">
        <v>25</v>
      </c>
      <c r="E267">
        <v>141885.32</v>
      </c>
      <c r="G267" s="1">
        <v>45545</v>
      </c>
      <c r="H267" t="s">
        <v>11</v>
      </c>
      <c r="I267" t="s">
        <v>558</v>
      </c>
    </row>
    <row r="268" spans="1:9" x14ac:dyDescent="0.3">
      <c r="A268" t="s">
        <v>559</v>
      </c>
      <c r="B268" t="s">
        <v>83</v>
      </c>
      <c r="C268" t="s">
        <v>14</v>
      </c>
      <c r="E268">
        <v>86483.67</v>
      </c>
      <c r="G268" s="1">
        <v>45335</v>
      </c>
      <c r="H268" t="s">
        <v>15</v>
      </c>
    </row>
    <row r="269" spans="1:9" x14ac:dyDescent="0.3">
      <c r="A269" t="s">
        <v>560</v>
      </c>
      <c r="B269" t="s">
        <v>143</v>
      </c>
      <c r="C269" t="s">
        <v>50</v>
      </c>
      <c r="E269">
        <v>54404.41</v>
      </c>
      <c r="G269" s="1">
        <v>45759</v>
      </c>
      <c r="H269" t="s">
        <v>15</v>
      </c>
      <c r="I269" s="2" t="s">
        <v>561</v>
      </c>
    </row>
    <row r="270" spans="1:9" x14ac:dyDescent="0.3">
      <c r="A270" t="s">
        <v>562</v>
      </c>
      <c r="B270" t="s">
        <v>46</v>
      </c>
      <c r="C270" t="s">
        <v>98</v>
      </c>
      <c r="E270">
        <v>41060.949999999997</v>
      </c>
      <c r="G270" s="1">
        <v>45602</v>
      </c>
      <c r="H270" t="s">
        <v>30</v>
      </c>
      <c r="I270" t="s">
        <v>563</v>
      </c>
    </row>
    <row r="271" spans="1:9" x14ac:dyDescent="0.3">
      <c r="A271" t="s">
        <v>564</v>
      </c>
      <c r="B271" t="s">
        <v>36</v>
      </c>
      <c r="C271" t="s">
        <v>14</v>
      </c>
      <c r="E271">
        <v>192636.74</v>
      </c>
      <c r="G271" s="1">
        <v>45646</v>
      </c>
      <c r="I271" t="s">
        <v>565</v>
      </c>
    </row>
    <row r="272" spans="1:9" x14ac:dyDescent="0.3">
      <c r="A272" t="s">
        <v>566</v>
      </c>
      <c r="B272" t="s">
        <v>465</v>
      </c>
      <c r="C272" t="s">
        <v>25</v>
      </c>
      <c r="D272">
        <v>58</v>
      </c>
      <c r="G272" s="1">
        <v>45592</v>
      </c>
      <c r="H272" t="s">
        <v>51</v>
      </c>
      <c r="I272" t="s">
        <v>567</v>
      </c>
    </row>
    <row r="273" spans="1:9" x14ac:dyDescent="0.3">
      <c r="A273" t="s">
        <v>568</v>
      </c>
      <c r="B273" t="s">
        <v>28</v>
      </c>
      <c r="C273" t="s">
        <v>25</v>
      </c>
      <c r="D273">
        <v>69</v>
      </c>
      <c r="E273">
        <v>218922.21</v>
      </c>
      <c r="F273">
        <v>15105632.49</v>
      </c>
      <c r="G273" s="1">
        <v>45210</v>
      </c>
      <c r="H273" t="s">
        <v>15</v>
      </c>
      <c r="I273" t="s">
        <v>569</v>
      </c>
    </row>
    <row r="274" spans="1:9" x14ac:dyDescent="0.3">
      <c r="A274" t="s">
        <v>570</v>
      </c>
      <c r="B274" t="s">
        <v>57</v>
      </c>
      <c r="C274" t="s">
        <v>10</v>
      </c>
      <c r="E274">
        <v>289152.88</v>
      </c>
      <c r="G274" s="1">
        <v>45217</v>
      </c>
      <c r="I274" t="s">
        <v>571</v>
      </c>
    </row>
    <row r="275" spans="1:9" x14ac:dyDescent="0.3">
      <c r="B275" t="s">
        <v>143</v>
      </c>
      <c r="C275" t="s">
        <v>50</v>
      </c>
      <c r="E275">
        <v>112651.05</v>
      </c>
      <c r="G275" s="1">
        <v>45193</v>
      </c>
      <c r="I275" t="s">
        <v>572</v>
      </c>
    </row>
    <row r="276" spans="1:9" x14ac:dyDescent="0.3">
      <c r="A276" t="s">
        <v>573</v>
      </c>
      <c r="B276" t="s">
        <v>57</v>
      </c>
      <c r="C276" t="s">
        <v>19</v>
      </c>
      <c r="E276">
        <v>267454.40999999997</v>
      </c>
      <c r="G276" s="1">
        <v>45423</v>
      </c>
      <c r="H276" t="s">
        <v>11</v>
      </c>
      <c r="I276" t="s">
        <v>574</v>
      </c>
    </row>
    <row r="277" spans="1:9" x14ac:dyDescent="0.3">
      <c r="A277" t="s">
        <v>575</v>
      </c>
      <c r="B277" t="s">
        <v>49</v>
      </c>
      <c r="C277" t="s">
        <v>25</v>
      </c>
      <c r="E277">
        <v>134836.87</v>
      </c>
      <c r="G277" s="1">
        <v>45407</v>
      </c>
      <c r="H277" t="s">
        <v>51</v>
      </c>
      <c r="I277" t="s">
        <v>576</v>
      </c>
    </row>
    <row r="278" spans="1:9" x14ac:dyDescent="0.3">
      <c r="A278" t="s">
        <v>577</v>
      </c>
      <c r="B278" t="s">
        <v>87</v>
      </c>
      <c r="C278" t="s">
        <v>76</v>
      </c>
      <c r="E278">
        <v>275175.96999999997</v>
      </c>
      <c r="G278" s="1">
        <v>45735</v>
      </c>
      <c r="H278" t="s">
        <v>15</v>
      </c>
      <c r="I278" t="s">
        <v>578</v>
      </c>
    </row>
    <row r="279" spans="1:9" x14ac:dyDescent="0.3">
      <c r="A279" t="s">
        <v>579</v>
      </c>
      <c r="B279" t="s">
        <v>36</v>
      </c>
      <c r="C279" t="s">
        <v>25</v>
      </c>
      <c r="E279">
        <v>113560.16</v>
      </c>
      <c r="G279" s="1">
        <v>45381</v>
      </c>
      <c r="H279" t="s">
        <v>11</v>
      </c>
      <c r="I279" t="s">
        <v>580</v>
      </c>
    </row>
    <row r="280" spans="1:9" x14ac:dyDescent="0.3">
      <c r="A280" t="s">
        <v>581</v>
      </c>
      <c r="B280" t="s">
        <v>49</v>
      </c>
      <c r="C280" t="s">
        <v>19</v>
      </c>
      <c r="E280">
        <v>24534.87</v>
      </c>
      <c r="G280" s="1">
        <v>45551</v>
      </c>
      <c r="H280" t="s">
        <v>51</v>
      </c>
      <c r="I280" t="s">
        <v>582</v>
      </c>
    </row>
    <row r="281" spans="1:9" x14ac:dyDescent="0.3">
      <c r="A281" t="s">
        <v>583</v>
      </c>
      <c r="B281" t="s">
        <v>584</v>
      </c>
      <c r="C281" t="s">
        <v>19</v>
      </c>
      <c r="D281">
        <v>54</v>
      </c>
      <c r="E281">
        <v>289261.24</v>
      </c>
      <c r="F281">
        <v>15620106.960000001</v>
      </c>
      <c r="G281" s="1">
        <v>45847</v>
      </c>
      <c r="H281" t="s">
        <v>15</v>
      </c>
      <c r="I281" t="s">
        <v>585</v>
      </c>
    </row>
    <row r="282" spans="1:9" x14ac:dyDescent="0.3">
      <c r="A282" t="s">
        <v>586</v>
      </c>
      <c r="B282" t="s">
        <v>49</v>
      </c>
      <c r="C282" t="s">
        <v>84</v>
      </c>
      <c r="G282" s="1">
        <v>45401</v>
      </c>
      <c r="H282" t="s">
        <v>11</v>
      </c>
    </row>
    <row r="283" spans="1:9" x14ac:dyDescent="0.3">
      <c r="A283" t="s">
        <v>587</v>
      </c>
      <c r="B283" t="s">
        <v>49</v>
      </c>
      <c r="C283" t="s">
        <v>98</v>
      </c>
      <c r="E283">
        <v>262428.84000000003</v>
      </c>
      <c r="G283" s="1">
        <v>45704</v>
      </c>
      <c r="H283" t="s">
        <v>51</v>
      </c>
      <c r="I283" t="s">
        <v>588</v>
      </c>
    </row>
    <row r="284" spans="1:9" x14ac:dyDescent="0.3">
      <c r="A284" t="s">
        <v>589</v>
      </c>
      <c r="B284" t="s">
        <v>87</v>
      </c>
      <c r="C284" t="s">
        <v>76</v>
      </c>
      <c r="E284">
        <v>40330.449999999997</v>
      </c>
      <c r="G284" s="1">
        <v>45230</v>
      </c>
      <c r="H284" t="s">
        <v>15</v>
      </c>
      <c r="I284" t="s">
        <v>590</v>
      </c>
    </row>
    <row r="285" spans="1:9" x14ac:dyDescent="0.3">
      <c r="A285" t="s">
        <v>591</v>
      </c>
      <c r="B285" t="s">
        <v>230</v>
      </c>
      <c r="C285" t="s">
        <v>59</v>
      </c>
      <c r="E285">
        <v>258155.83</v>
      </c>
      <c r="G285" s="1">
        <v>45272</v>
      </c>
      <c r="H285" t="s">
        <v>51</v>
      </c>
      <c r="I285" t="s">
        <v>592</v>
      </c>
    </row>
    <row r="286" spans="1:9" x14ac:dyDescent="0.3">
      <c r="A286" t="s">
        <v>593</v>
      </c>
      <c r="B286" t="s">
        <v>62</v>
      </c>
      <c r="C286" t="s">
        <v>25</v>
      </c>
      <c r="D286">
        <v>71</v>
      </c>
      <c r="E286">
        <v>36030.629999999997</v>
      </c>
      <c r="F286">
        <v>2558174.73</v>
      </c>
      <c r="G286" s="1">
        <v>45585</v>
      </c>
      <c r="I286" t="s">
        <v>594</v>
      </c>
    </row>
    <row r="287" spans="1:9" x14ac:dyDescent="0.3">
      <c r="A287" t="s">
        <v>595</v>
      </c>
      <c r="B287" t="s">
        <v>62</v>
      </c>
      <c r="C287" t="s">
        <v>98</v>
      </c>
      <c r="E287">
        <v>297857.61</v>
      </c>
      <c r="G287" s="1">
        <v>45513</v>
      </c>
      <c r="H287" t="s">
        <v>30</v>
      </c>
      <c r="I287" t="s">
        <v>596</v>
      </c>
    </row>
    <row r="288" spans="1:9" x14ac:dyDescent="0.3">
      <c r="B288" t="s">
        <v>93</v>
      </c>
      <c r="C288" t="s">
        <v>50</v>
      </c>
      <c r="E288">
        <v>118221.06</v>
      </c>
      <c r="G288" s="1">
        <v>45429</v>
      </c>
      <c r="H288" t="s">
        <v>30</v>
      </c>
      <c r="I288" t="s">
        <v>597</v>
      </c>
    </row>
    <row r="289" spans="1:9" x14ac:dyDescent="0.3">
      <c r="A289" t="s">
        <v>598</v>
      </c>
      <c r="B289" t="s">
        <v>49</v>
      </c>
      <c r="C289" t="s">
        <v>29</v>
      </c>
      <c r="D289">
        <v>11</v>
      </c>
      <c r="E289">
        <v>38640.449999999997</v>
      </c>
      <c r="F289">
        <v>425044.95</v>
      </c>
      <c r="G289" s="1">
        <v>45506</v>
      </c>
      <c r="I289" t="s">
        <v>599</v>
      </c>
    </row>
    <row r="290" spans="1:9" x14ac:dyDescent="0.3">
      <c r="A290" t="s">
        <v>600</v>
      </c>
      <c r="B290" t="s">
        <v>448</v>
      </c>
      <c r="C290" t="s">
        <v>138</v>
      </c>
      <c r="E290">
        <v>293627.95</v>
      </c>
      <c r="G290" s="1">
        <v>45149</v>
      </c>
      <c r="H290" t="s">
        <v>51</v>
      </c>
      <c r="I290" t="s">
        <v>601</v>
      </c>
    </row>
    <row r="291" spans="1:9" x14ac:dyDescent="0.3">
      <c r="A291" t="s">
        <v>602</v>
      </c>
      <c r="B291" t="s">
        <v>39</v>
      </c>
      <c r="C291" t="s">
        <v>25</v>
      </c>
      <c r="D291">
        <v>66</v>
      </c>
      <c r="E291">
        <v>250529.07</v>
      </c>
      <c r="F291">
        <v>16534918.619999999</v>
      </c>
      <c r="G291" s="1">
        <v>45153</v>
      </c>
      <c r="I291" t="s">
        <v>603</v>
      </c>
    </row>
    <row r="292" spans="1:9" x14ac:dyDescent="0.3">
      <c r="A292" t="s">
        <v>604</v>
      </c>
      <c r="B292" t="s">
        <v>93</v>
      </c>
      <c r="C292" t="s">
        <v>98</v>
      </c>
      <c r="D292">
        <v>56</v>
      </c>
      <c r="G292" s="1">
        <v>45148</v>
      </c>
      <c r="H292" t="s">
        <v>30</v>
      </c>
      <c r="I292" s="2" t="s">
        <v>605</v>
      </c>
    </row>
    <row r="293" spans="1:9" x14ac:dyDescent="0.3">
      <c r="A293" t="s">
        <v>606</v>
      </c>
      <c r="B293" t="s">
        <v>39</v>
      </c>
      <c r="C293" t="s">
        <v>14</v>
      </c>
      <c r="E293">
        <v>226975.73</v>
      </c>
      <c r="G293" s="1">
        <v>45224</v>
      </c>
      <c r="H293" t="s">
        <v>30</v>
      </c>
      <c r="I293" t="s">
        <v>607</v>
      </c>
    </row>
    <row r="294" spans="1:9" x14ac:dyDescent="0.3">
      <c r="A294" t="s">
        <v>608</v>
      </c>
      <c r="B294" t="s">
        <v>66</v>
      </c>
      <c r="C294" t="s">
        <v>19</v>
      </c>
      <c r="D294">
        <v>45</v>
      </c>
      <c r="E294">
        <v>293557.96000000002</v>
      </c>
      <c r="F294">
        <v>13210108.199999999</v>
      </c>
      <c r="G294" s="1">
        <v>45672</v>
      </c>
      <c r="H294" t="s">
        <v>51</v>
      </c>
      <c r="I294" t="s">
        <v>609</v>
      </c>
    </row>
    <row r="295" spans="1:9" x14ac:dyDescent="0.3">
      <c r="A295" t="s">
        <v>610</v>
      </c>
      <c r="B295" t="s">
        <v>39</v>
      </c>
      <c r="C295" t="s">
        <v>19</v>
      </c>
      <c r="D295">
        <v>54</v>
      </c>
      <c r="E295">
        <v>139169.67000000001</v>
      </c>
      <c r="F295">
        <v>7515162.1799999997</v>
      </c>
      <c r="G295" s="1">
        <v>45376</v>
      </c>
      <c r="H295" t="s">
        <v>30</v>
      </c>
      <c r="I295" t="s">
        <v>611</v>
      </c>
    </row>
    <row r="296" spans="1:9" x14ac:dyDescent="0.3">
      <c r="A296" t="s">
        <v>612</v>
      </c>
      <c r="B296" t="s">
        <v>22</v>
      </c>
      <c r="C296" t="s">
        <v>25</v>
      </c>
      <c r="E296">
        <v>215868.65</v>
      </c>
      <c r="G296" s="1">
        <v>45742</v>
      </c>
    </row>
    <row r="297" spans="1:9" x14ac:dyDescent="0.3">
      <c r="A297" t="s">
        <v>613</v>
      </c>
      <c r="B297" t="s">
        <v>115</v>
      </c>
      <c r="C297" t="s">
        <v>14</v>
      </c>
      <c r="D297">
        <v>48</v>
      </c>
      <c r="E297">
        <v>127526.34</v>
      </c>
      <c r="F297">
        <v>6121264.3200000003</v>
      </c>
      <c r="G297" s="1">
        <v>45485</v>
      </c>
      <c r="H297" t="s">
        <v>51</v>
      </c>
      <c r="I297" t="s">
        <v>614</v>
      </c>
    </row>
    <row r="298" spans="1:9" x14ac:dyDescent="0.3">
      <c r="A298" t="s">
        <v>615</v>
      </c>
      <c r="B298" t="s">
        <v>33</v>
      </c>
      <c r="C298" t="s">
        <v>103</v>
      </c>
      <c r="D298">
        <v>50</v>
      </c>
      <c r="E298">
        <v>114093.3</v>
      </c>
      <c r="F298">
        <v>5704665</v>
      </c>
      <c r="G298" s="1">
        <v>45521</v>
      </c>
      <c r="I298" t="s">
        <v>616</v>
      </c>
    </row>
    <row r="299" spans="1:9" x14ac:dyDescent="0.3">
      <c r="A299" t="s">
        <v>617</v>
      </c>
      <c r="B299" t="s">
        <v>43</v>
      </c>
      <c r="C299" t="s">
        <v>19</v>
      </c>
      <c r="D299">
        <v>48</v>
      </c>
      <c r="E299">
        <v>69284.39</v>
      </c>
      <c r="F299">
        <v>3325650.72</v>
      </c>
      <c r="G299" s="1">
        <v>45472</v>
      </c>
      <c r="H299" t="s">
        <v>51</v>
      </c>
      <c r="I299" t="s">
        <v>618</v>
      </c>
    </row>
    <row r="300" spans="1:9" x14ac:dyDescent="0.3">
      <c r="A300" t="s">
        <v>515</v>
      </c>
      <c r="B300" t="s">
        <v>22</v>
      </c>
      <c r="C300" t="s">
        <v>50</v>
      </c>
      <c r="E300">
        <v>138457.26999999999</v>
      </c>
      <c r="G300" s="1">
        <v>45233</v>
      </c>
      <c r="H300" t="s">
        <v>30</v>
      </c>
      <c r="I300" t="s">
        <v>619</v>
      </c>
    </row>
    <row r="301" spans="1:9" x14ac:dyDescent="0.3">
      <c r="B301" t="s">
        <v>87</v>
      </c>
      <c r="C301" t="s">
        <v>19</v>
      </c>
      <c r="E301">
        <v>46958.85</v>
      </c>
      <c r="G301" s="1">
        <v>45588</v>
      </c>
      <c r="H301" t="s">
        <v>15</v>
      </c>
      <c r="I301" t="s">
        <v>620</v>
      </c>
    </row>
    <row r="302" spans="1:9" x14ac:dyDescent="0.3">
      <c r="A302" t="s">
        <v>621</v>
      </c>
      <c r="B302" t="s">
        <v>66</v>
      </c>
      <c r="C302" t="s">
        <v>59</v>
      </c>
      <c r="G302" s="1">
        <v>45811</v>
      </c>
      <c r="H302" t="s">
        <v>51</v>
      </c>
      <c r="I302" t="s">
        <v>622</v>
      </c>
    </row>
    <row r="303" spans="1:9" x14ac:dyDescent="0.3">
      <c r="A303" t="s">
        <v>623</v>
      </c>
      <c r="B303" t="s">
        <v>49</v>
      </c>
      <c r="C303" t="s">
        <v>76</v>
      </c>
      <c r="D303">
        <v>19</v>
      </c>
      <c r="E303">
        <v>56949.9</v>
      </c>
      <c r="F303">
        <v>1082048.1000000001</v>
      </c>
      <c r="G303" s="1">
        <v>45518</v>
      </c>
      <c r="H303" t="s">
        <v>51</v>
      </c>
      <c r="I303" t="s">
        <v>624</v>
      </c>
    </row>
    <row r="304" spans="1:9" x14ac:dyDescent="0.3">
      <c r="A304" t="s">
        <v>625</v>
      </c>
      <c r="B304" t="s">
        <v>66</v>
      </c>
      <c r="C304" t="s">
        <v>59</v>
      </c>
      <c r="E304">
        <v>262624.84999999998</v>
      </c>
      <c r="G304" s="1">
        <v>45226</v>
      </c>
      <c r="H304" t="s">
        <v>15</v>
      </c>
      <c r="I304" t="s">
        <v>626</v>
      </c>
    </row>
    <row r="305" spans="1:9" x14ac:dyDescent="0.3">
      <c r="A305" t="s">
        <v>627</v>
      </c>
      <c r="B305" t="s">
        <v>39</v>
      </c>
      <c r="C305" t="s">
        <v>59</v>
      </c>
      <c r="E305">
        <v>229764.23</v>
      </c>
      <c r="G305" s="1">
        <v>45372</v>
      </c>
      <c r="H305" t="s">
        <v>30</v>
      </c>
      <c r="I305" t="s">
        <v>628</v>
      </c>
    </row>
    <row r="306" spans="1:9" x14ac:dyDescent="0.3">
      <c r="A306" t="s">
        <v>629</v>
      </c>
      <c r="B306" t="s">
        <v>46</v>
      </c>
      <c r="C306" t="s">
        <v>84</v>
      </c>
      <c r="E306">
        <v>10149.09</v>
      </c>
      <c r="G306" s="1">
        <v>45841</v>
      </c>
      <c r="I306" t="s">
        <v>630</v>
      </c>
    </row>
    <row r="307" spans="1:9" x14ac:dyDescent="0.3">
      <c r="A307" t="s">
        <v>631</v>
      </c>
      <c r="B307" t="s">
        <v>87</v>
      </c>
      <c r="C307" t="s">
        <v>14</v>
      </c>
      <c r="E307">
        <v>198229.21</v>
      </c>
      <c r="G307" s="1">
        <v>45594</v>
      </c>
      <c r="H307" t="s">
        <v>11</v>
      </c>
      <c r="I307" t="s">
        <v>632</v>
      </c>
    </row>
    <row r="308" spans="1:9" x14ac:dyDescent="0.3">
      <c r="A308" t="s">
        <v>633</v>
      </c>
      <c r="B308" t="s">
        <v>43</v>
      </c>
      <c r="C308" t="s">
        <v>59</v>
      </c>
      <c r="D308">
        <v>79</v>
      </c>
      <c r="E308">
        <v>184669.5</v>
      </c>
      <c r="F308">
        <v>14588890.5</v>
      </c>
      <c r="G308" s="1">
        <v>45365</v>
      </c>
      <c r="H308" t="s">
        <v>15</v>
      </c>
      <c r="I308" t="s">
        <v>634</v>
      </c>
    </row>
    <row r="309" spans="1:9" x14ac:dyDescent="0.3">
      <c r="A309" t="s">
        <v>635</v>
      </c>
      <c r="B309" t="s">
        <v>62</v>
      </c>
      <c r="C309" t="s">
        <v>76</v>
      </c>
      <c r="D309">
        <v>11</v>
      </c>
      <c r="E309">
        <v>280903.26</v>
      </c>
      <c r="F309">
        <v>3089935.86</v>
      </c>
      <c r="G309" s="1">
        <v>45244</v>
      </c>
      <c r="H309" t="s">
        <v>11</v>
      </c>
      <c r="I309" t="s">
        <v>636</v>
      </c>
    </row>
    <row r="310" spans="1:9" x14ac:dyDescent="0.3">
      <c r="A310" t="s">
        <v>637</v>
      </c>
      <c r="B310" t="s">
        <v>97</v>
      </c>
      <c r="C310" t="s">
        <v>19</v>
      </c>
      <c r="D310">
        <v>33</v>
      </c>
      <c r="E310">
        <v>266767.88</v>
      </c>
      <c r="F310">
        <v>8803340.0399999991</v>
      </c>
      <c r="G310" s="1">
        <v>45423</v>
      </c>
      <c r="H310" t="s">
        <v>30</v>
      </c>
    </row>
    <row r="311" spans="1:9" x14ac:dyDescent="0.3">
      <c r="A311" t="s">
        <v>638</v>
      </c>
      <c r="B311" t="s">
        <v>18</v>
      </c>
      <c r="C311" t="s">
        <v>25</v>
      </c>
      <c r="E311">
        <v>72579.56</v>
      </c>
      <c r="G311" s="1">
        <v>45596</v>
      </c>
      <c r="H311" t="s">
        <v>51</v>
      </c>
      <c r="I311" t="s">
        <v>639</v>
      </c>
    </row>
    <row r="312" spans="1:9" x14ac:dyDescent="0.3">
      <c r="A312" t="s">
        <v>640</v>
      </c>
      <c r="B312" t="s">
        <v>57</v>
      </c>
      <c r="C312" t="s">
        <v>76</v>
      </c>
      <c r="G312" s="1">
        <v>45692</v>
      </c>
      <c r="H312" t="s">
        <v>51</v>
      </c>
      <c r="I312" t="s">
        <v>641</v>
      </c>
    </row>
    <row r="313" spans="1:9" x14ac:dyDescent="0.3">
      <c r="A313" t="s">
        <v>642</v>
      </c>
      <c r="B313" t="s">
        <v>97</v>
      </c>
      <c r="C313" t="s">
        <v>98</v>
      </c>
      <c r="E313">
        <v>20653.63</v>
      </c>
      <c r="G313" s="1">
        <v>45772</v>
      </c>
      <c r="H313" t="s">
        <v>30</v>
      </c>
      <c r="I313" t="s">
        <v>643</v>
      </c>
    </row>
    <row r="314" spans="1:9" x14ac:dyDescent="0.3">
      <c r="B314" t="s">
        <v>22</v>
      </c>
      <c r="C314" t="s">
        <v>10</v>
      </c>
      <c r="E314">
        <v>178386.27</v>
      </c>
      <c r="G314" s="1">
        <v>45350</v>
      </c>
      <c r="I314" t="s">
        <v>644</v>
      </c>
    </row>
    <row r="315" spans="1:9" x14ac:dyDescent="0.3">
      <c r="A315" t="s">
        <v>645</v>
      </c>
      <c r="B315" t="s">
        <v>18</v>
      </c>
      <c r="C315" t="s">
        <v>50</v>
      </c>
      <c r="E315">
        <v>134209.1</v>
      </c>
      <c r="G315" s="1">
        <v>45579</v>
      </c>
      <c r="I315" t="s">
        <v>646</v>
      </c>
    </row>
    <row r="316" spans="1:9" x14ac:dyDescent="0.3">
      <c r="A316" t="s">
        <v>647</v>
      </c>
      <c r="B316" t="s">
        <v>115</v>
      </c>
      <c r="C316" t="s">
        <v>59</v>
      </c>
      <c r="D316">
        <v>16</v>
      </c>
      <c r="E316">
        <v>201771.08</v>
      </c>
      <c r="F316">
        <v>3228337.28</v>
      </c>
      <c r="G316" s="1">
        <v>45379</v>
      </c>
      <c r="H316" t="s">
        <v>30</v>
      </c>
      <c r="I316" t="s">
        <v>648</v>
      </c>
    </row>
    <row r="317" spans="1:9" x14ac:dyDescent="0.3">
      <c r="A317" t="s">
        <v>649</v>
      </c>
      <c r="B317" t="s">
        <v>241</v>
      </c>
      <c r="C317" t="s">
        <v>25</v>
      </c>
      <c r="E317">
        <v>261727.62</v>
      </c>
      <c r="G317" s="1">
        <v>45512</v>
      </c>
      <c r="H317" t="s">
        <v>30</v>
      </c>
      <c r="I317" t="s">
        <v>650</v>
      </c>
    </row>
    <row r="318" spans="1:9" x14ac:dyDescent="0.3">
      <c r="A318" t="s">
        <v>651</v>
      </c>
      <c r="B318" t="s">
        <v>143</v>
      </c>
      <c r="C318" t="s">
        <v>59</v>
      </c>
      <c r="E318">
        <v>73797.88</v>
      </c>
      <c r="G318" s="1">
        <v>45761</v>
      </c>
      <c r="H318" t="s">
        <v>30</v>
      </c>
      <c r="I318" t="s">
        <v>652</v>
      </c>
    </row>
    <row r="319" spans="1:9" x14ac:dyDescent="0.3">
      <c r="A319" t="s">
        <v>653</v>
      </c>
      <c r="B319" t="s">
        <v>83</v>
      </c>
      <c r="C319" t="s">
        <v>50</v>
      </c>
      <c r="D319">
        <v>59</v>
      </c>
      <c r="E319">
        <v>13748.9</v>
      </c>
      <c r="F319">
        <v>811185.1</v>
      </c>
      <c r="G319" s="1">
        <v>45513</v>
      </c>
      <c r="H319" t="s">
        <v>30</v>
      </c>
      <c r="I319" t="s">
        <v>654</v>
      </c>
    </row>
    <row r="320" spans="1:9" x14ac:dyDescent="0.3">
      <c r="A320" t="s">
        <v>655</v>
      </c>
      <c r="B320" t="s">
        <v>97</v>
      </c>
      <c r="C320" t="s">
        <v>76</v>
      </c>
      <c r="E320">
        <v>131969.35999999999</v>
      </c>
      <c r="G320" s="1">
        <v>45531</v>
      </c>
      <c r="H320" t="s">
        <v>30</v>
      </c>
      <c r="I320" t="s">
        <v>656</v>
      </c>
    </row>
    <row r="321" spans="1:9" x14ac:dyDescent="0.3">
      <c r="A321" t="s">
        <v>657</v>
      </c>
      <c r="B321" t="s">
        <v>39</v>
      </c>
      <c r="C321" t="s">
        <v>98</v>
      </c>
      <c r="E321">
        <v>162158.06</v>
      </c>
      <c r="G321" s="1">
        <v>45498</v>
      </c>
      <c r="H321" t="s">
        <v>30</v>
      </c>
      <c r="I321" t="s">
        <v>658</v>
      </c>
    </row>
    <row r="322" spans="1:9" x14ac:dyDescent="0.3">
      <c r="A322" t="s">
        <v>659</v>
      </c>
      <c r="B322" t="s">
        <v>13</v>
      </c>
      <c r="C322" t="s">
        <v>10</v>
      </c>
      <c r="G322" s="1">
        <v>45668</v>
      </c>
      <c r="H322" t="s">
        <v>51</v>
      </c>
      <c r="I322" t="s">
        <v>660</v>
      </c>
    </row>
    <row r="323" spans="1:9" x14ac:dyDescent="0.3">
      <c r="A323" t="s">
        <v>661</v>
      </c>
      <c r="B323" t="s">
        <v>83</v>
      </c>
      <c r="C323" t="s">
        <v>76</v>
      </c>
      <c r="E323">
        <v>226438.52</v>
      </c>
      <c r="G323" s="1">
        <v>45555</v>
      </c>
      <c r="H323" t="s">
        <v>11</v>
      </c>
      <c r="I323" t="s">
        <v>662</v>
      </c>
    </row>
    <row r="324" spans="1:9" x14ac:dyDescent="0.3">
      <c r="A324" t="s">
        <v>663</v>
      </c>
      <c r="B324" t="s">
        <v>66</v>
      </c>
      <c r="C324" t="s">
        <v>98</v>
      </c>
      <c r="E324">
        <v>232931.05</v>
      </c>
      <c r="G324" s="1">
        <v>45350</v>
      </c>
    </row>
    <row r="325" spans="1:9" x14ac:dyDescent="0.3">
      <c r="A325" t="s">
        <v>664</v>
      </c>
      <c r="B325" t="s">
        <v>87</v>
      </c>
      <c r="C325" t="s">
        <v>29</v>
      </c>
      <c r="E325">
        <v>42470.6</v>
      </c>
      <c r="G325" s="1">
        <v>45486</v>
      </c>
      <c r="H325" t="s">
        <v>11</v>
      </c>
      <c r="I325" t="s">
        <v>665</v>
      </c>
    </row>
    <row r="326" spans="1:9" x14ac:dyDescent="0.3">
      <c r="A326" t="s">
        <v>666</v>
      </c>
      <c r="B326" t="s">
        <v>9</v>
      </c>
      <c r="C326" t="s">
        <v>59</v>
      </c>
      <c r="D326">
        <v>55</v>
      </c>
      <c r="E326">
        <v>298048.28999999998</v>
      </c>
      <c r="F326">
        <v>16392655.949999999</v>
      </c>
      <c r="G326" s="1">
        <v>45751</v>
      </c>
      <c r="H326" t="s">
        <v>51</v>
      </c>
      <c r="I326" t="s">
        <v>667</v>
      </c>
    </row>
    <row r="327" spans="1:9" x14ac:dyDescent="0.3">
      <c r="B327" t="s">
        <v>39</v>
      </c>
      <c r="C327" t="s">
        <v>19</v>
      </c>
      <c r="E327">
        <v>70631.37</v>
      </c>
      <c r="G327" s="1">
        <v>45130</v>
      </c>
      <c r="H327" t="s">
        <v>15</v>
      </c>
      <c r="I327" t="s">
        <v>668</v>
      </c>
    </row>
    <row r="328" spans="1:9" x14ac:dyDescent="0.3">
      <c r="A328" t="s">
        <v>669</v>
      </c>
      <c r="B328" t="s">
        <v>36</v>
      </c>
      <c r="C328" t="s">
        <v>19</v>
      </c>
      <c r="E328">
        <v>274960.90999999997</v>
      </c>
      <c r="G328" s="1">
        <v>45404</v>
      </c>
      <c r="H328" t="s">
        <v>11</v>
      </c>
      <c r="I328" t="s">
        <v>670</v>
      </c>
    </row>
    <row r="329" spans="1:9" x14ac:dyDescent="0.3">
      <c r="A329" t="s">
        <v>671</v>
      </c>
      <c r="B329" t="s">
        <v>57</v>
      </c>
      <c r="C329" t="s">
        <v>98</v>
      </c>
      <c r="D329">
        <v>54</v>
      </c>
      <c r="E329">
        <v>173045.05</v>
      </c>
      <c r="F329">
        <v>9344432.6999999993</v>
      </c>
      <c r="G329" s="1">
        <v>45375</v>
      </c>
      <c r="H329" t="s">
        <v>15</v>
      </c>
      <c r="I329" t="s">
        <v>672</v>
      </c>
    </row>
    <row r="330" spans="1:9" x14ac:dyDescent="0.3">
      <c r="A330" t="s">
        <v>673</v>
      </c>
      <c r="B330" t="s">
        <v>62</v>
      </c>
      <c r="C330" t="s">
        <v>40</v>
      </c>
      <c r="E330">
        <v>173453.71</v>
      </c>
      <c r="G330" s="1">
        <v>45641</v>
      </c>
      <c r="H330" t="s">
        <v>51</v>
      </c>
      <c r="I330" t="s">
        <v>674</v>
      </c>
    </row>
    <row r="331" spans="1:9" x14ac:dyDescent="0.3">
      <c r="A331" t="s">
        <v>675</v>
      </c>
      <c r="B331" t="s">
        <v>18</v>
      </c>
      <c r="C331" t="s">
        <v>25</v>
      </c>
      <c r="E331">
        <v>231875.19</v>
      </c>
      <c r="G331" s="1">
        <v>45203</v>
      </c>
      <c r="I331" t="s">
        <v>676</v>
      </c>
    </row>
    <row r="332" spans="1:9" x14ac:dyDescent="0.3">
      <c r="A332" t="s">
        <v>677</v>
      </c>
      <c r="B332" t="s">
        <v>28</v>
      </c>
      <c r="C332" t="s">
        <v>14</v>
      </c>
      <c r="D332">
        <v>47</v>
      </c>
      <c r="G332" s="1">
        <v>45441</v>
      </c>
      <c r="H332" t="s">
        <v>15</v>
      </c>
      <c r="I332" t="s">
        <v>678</v>
      </c>
    </row>
    <row r="333" spans="1:9" x14ac:dyDescent="0.3">
      <c r="A333" t="s">
        <v>679</v>
      </c>
      <c r="B333" t="s">
        <v>119</v>
      </c>
      <c r="C333" t="s">
        <v>25</v>
      </c>
      <c r="E333">
        <v>245605.56</v>
      </c>
      <c r="G333" s="1">
        <v>45571</v>
      </c>
      <c r="H333" t="s">
        <v>51</v>
      </c>
      <c r="I333" t="s">
        <v>680</v>
      </c>
    </row>
    <row r="334" spans="1:9" x14ac:dyDescent="0.3">
      <c r="A334" t="s">
        <v>681</v>
      </c>
      <c r="B334" t="s">
        <v>39</v>
      </c>
      <c r="C334" t="s">
        <v>19</v>
      </c>
      <c r="E334">
        <v>71452.759999999995</v>
      </c>
      <c r="G334" s="1">
        <v>45356</v>
      </c>
      <c r="H334" t="s">
        <v>30</v>
      </c>
      <c r="I334" t="s">
        <v>682</v>
      </c>
    </row>
    <row r="335" spans="1:9" x14ac:dyDescent="0.3">
      <c r="A335" t="s">
        <v>683</v>
      </c>
      <c r="B335" t="s">
        <v>205</v>
      </c>
      <c r="C335" t="s">
        <v>19</v>
      </c>
      <c r="D335">
        <v>71</v>
      </c>
      <c r="E335">
        <v>262939.37</v>
      </c>
      <c r="F335">
        <v>18668695.27</v>
      </c>
      <c r="G335" s="1">
        <v>45736</v>
      </c>
      <c r="I335" t="s">
        <v>684</v>
      </c>
    </row>
    <row r="336" spans="1:9" x14ac:dyDescent="0.3">
      <c r="A336" t="s">
        <v>685</v>
      </c>
      <c r="B336" t="s">
        <v>119</v>
      </c>
      <c r="C336" t="s">
        <v>50</v>
      </c>
      <c r="E336">
        <v>295715.82</v>
      </c>
      <c r="G336" s="1">
        <v>45816</v>
      </c>
      <c r="H336" t="s">
        <v>30</v>
      </c>
      <c r="I336" t="s">
        <v>686</v>
      </c>
    </row>
    <row r="337" spans="1:9" x14ac:dyDescent="0.3">
      <c r="A337" t="s">
        <v>687</v>
      </c>
      <c r="B337" t="s">
        <v>143</v>
      </c>
      <c r="C337" t="s">
        <v>98</v>
      </c>
      <c r="E337">
        <v>156614.69</v>
      </c>
      <c r="G337" s="1">
        <v>45681</v>
      </c>
      <c r="I337" t="s">
        <v>688</v>
      </c>
    </row>
    <row r="338" spans="1:9" x14ac:dyDescent="0.3">
      <c r="A338" t="s">
        <v>689</v>
      </c>
      <c r="B338" t="s">
        <v>93</v>
      </c>
      <c r="C338" t="s">
        <v>40</v>
      </c>
      <c r="E338">
        <v>124361.28</v>
      </c>
      <c r="G338" s="1">
        <v>45795</v>
      </c>
    </row>
    <row r="339" spans="1:9" x14ac:dyDescent="0.3">
      <c r="A339" t="s">
        <v>690</v>
      </c>
      <c r="B339" t="s">
        <v>83</v>
      </c>
      <c r="C339" t="s">
        <v>14</v>
      </c>
      <c r="E339">
        <v>82908.600000000006</v>
      </c>
      <c r="G339" s="1">
        <v>45652</v>
      </c>
      <c r="H339" t="s">
        <v>11</v>
      </c>
      <c r="I339" t="s">
        <v>691</v>
      </c>
    </row>
    <row r="340" spans="1:9" x14ac:dyDescent="0.3">
      <c r="B340" t="s">
        <v>36</v>
      </c>
      <c r="C340" t="s">
        <v>25</v>
      </c>
      <c r="E340">
        <v>167237.07999999999</v>
      </c>
      <c r="G340" s="1">
        <v>45606</v>
      </c>
      <c r="I340" t="s">
        <v>692</v>
      </c>
    </row>
    <row r="341" spans="1:9" x14ac:dyDescent="0.3">
      <c r="A341" t="s">
        <v>693</v>
      </c>
      <c r="B341" t="s">
        <v>143</v>
      </c>
      <c r="C341" t="s">
        <v>98</v>
      </c>
      <c r="E341">
        <v>177704.3</v>
      </c>
      <c r="G341" s="1">
        <v>45138</v>
      </c>
      <c r="H341" t="s">
        <v>11</v>
      </c>
      <c r="I341" t="s">
        <v>694</v>
      </c>
    </row>
    <row r="342" spans="1:9" x14ac:dyDescent="0.3">
      <c r="A342" t="s">
        <v>695</v>
      </c>
      <c r="B342" t="s">
        <v>66</v>
      </c>
      <c r="C342" t="s">
        <v>76</v>
      </c>
      <c r="G342" s="1">
        <v>45581</v>
      </c>
      <c r="H342" t="s">
        <v>15</v>
      </c>
      <c r="I342" t="s">
        <v>696</v>
      </c>
    </row>
    <row r="343" spans="1:9" x14ac:dyDescent="0.3">
      <c r="A343" t="s">
        <v>697</v>
      </c>
      <c r="B343" t="s">
        <v>62</v>
      </c>
      <c r="C343" t="s">
        <v>50</v>
      </c>
      <c r="E343">
        <v>220696.03</v>
      </c>
      <c r="G343" s="1">
        <v>45486</v>
      </c>
      <c r="I343" t="s">
        <v>698</v>
      </c>
    </row>
    <row r="344" spans="1:9" x14ac:dyDescent="0.3">
      <c r="A344" t="s">
        <v>699</v>
      </c>
      <c r="B344" t="s">
        <v>69</v>
      </c>
      <c r="C344" t="s">
        <v>29</v>
      </c>
      <c r="E344">
        <v>52952.39</v>
      </c>
      <c r="G344" s="1">
        <v>45324</v>
      </c>
      <c r="H344" t="s">
        <v>15</v>
      </c>
      <c r="I344" t="s">
        <v>700</v>
      </c>
    </row>
    <row r="345" spans="1:9" x14ac:dyDescent="0.3">
      <c r="A345" t="s">
        <v>701</v>
      </c>
      <c r="B345" t="s">
        <v>36</v>
      </c>
      <c r="C345" t="s">
        <v>50</v>
      </c>
      <c r="E345">
        <v>203785.66</v>
      </c>
      <c r="G345" s="1">
        <v>45627</v>
      </c>
      <c r="I345" t="s">
        <v>702</v>
      </c>
    </row>
    <row r="346" spans="1:9" x14ac:dyDescent="0.3">
      <c r="A346" t="s">
        <v>703</v>
      </c>
      <c r="B346" t="s">
        <v>143</v>
      </c>
      <c r="C346" t="s">
        <v>10</v>
      </c>
      <c r="D346">
        <v>18</v>
      </c>
      <c r="E346">
        <v>166977.26999999999</v>
      </c>
      <c r="F346">
        <v>3005590.86</v>
      </c>
      <c r="G346" s="1">
        <v>45726</v>
      </c>
      <c r="H346" t="s">
        <v>11</v>
      </c>
      <c r="I346" t="s">
        <v>704</v>
      </c>
    </row>
    <row r="347" spans="1:9" x14ac:dyDescent="0.3">
      <c r="A347" t="s">
        <v>705</v>
      </c>
      <c r="B347" t="s">
        <v>33</v>
      </c>
      <c r="C347" t="s">
        <v>50</v>
      </c>
      <c r="E347">
        <v>14541.79</v>
      </c>
      <c r="G347" s="1">
        <v>45720</v>
      </c>
      <c r="H347" t="s">
        <v>30</v>
      </c>
      <c r="I347" t="s">
        <v>706</v>
      </c>
    </row>
    <row r="348" spans="1:9" x14ac:dyDescent="0.3">
      <c r="A348" t="s">
        <v>707</v>
      </c>
      <c r="B348" t="s">
        <v>28</v>
      </c>
      <c r="C348" t="s">
        <v>14</v>
      </c>
      <c r="E348">
        <v>103652.24</v>
      </c>
      <c r="G348" s="1">
        <v>45567</v>
      </c>
      <c r="I348" t="s">
        <v>708</v>
      </c>
    </row>
    <row r="349" spans="1:9" x14ac:dyDescent="0.3">
      <c r="A349" t="s">
        <v>709</v>
      </c>
      <c r="B349" t="s">
        <v>18</v>
      </c>
      <c r="C349" t="s">
        <v>19</v>
      </c>
      <c r="E349">
        <v>193173.16</v>
      </c>
      <c r="G349" s="1">
        <v>45566</v>
      </c>
      <c r="H349" t="s">
        <v>51</v>
      </c>
      <c r="I349" t="s">
        <v>710</v>
      </c>
    </row>
    <row r="350" spans="1:9" x14ac:dyDescent="0.3">
      <c r="A350" t="s">
        <v>711</v>
      </c>
      <c r="B350" t="s">
        <v>33</v>
      </c>
      <c r="C350" t="s">
        <v>25</v>
      </c>
      <c r="E350">
        <v>114655.81</v>
      </c>
      <c r="G350" s="1">
        <v>45294</v>
      </c>
      <c r="H350" t="s">
        <v>30</v>
      </c>
      <c r="I350" t="s">
        <v>712</v>
      </c>
    </row>
    <row r="351" spans="1:9" x14ac:dyDescent="0.3">
      <c r="A351" t="s">
        <v>713</v>
      </c>
      <c r="B351" t="s">
        <v>33</v>
      </c>
      <c r="C351" t="s">
        <v>25</v>
      </c>
      <c r="E351">
        <v>157576.69</v>
      </c>
      <c r="G351" s="1">
        <v>45678</v>
      </c>
      <c r="H351" t="s">
        <v>11</v>
      </c>
      <c r="I351" t="s">
        <v>714</v>
      </c>
    </row>
    <row r="352" spans="1:9" x14ac:dyDescent="0.3">
      <c r="A352" t="s">
        <v>715</v>
      </c>
      <c r="B352" t="s">
        <v>36</v>
      </c>
      <c r="C352" t="s">
        <v>76</v>
      </c>
      <c r="D352">
        <v>24</v>
      </c>
      <c r="G352" s="1">
        <v>45157</v>
      </c>
      <c r="H352" t="s">
        <v>51</v>
      </c>
    </row>
    <row r="353" spans="1:9" x14ac:dyDescent="0.3">
      <c r="B353" t="s">
        <v>241</v>
      </c>
      <c r="C353" t="s">
        <v>19</v>
      </c>
      <c r="E353">
        <v>209044.37</v>
      </c>
      <c r="G353" s="1">
        <v>45571</v>
      </c>
      <c r="H353" t="s">
        <v>15</v>
      </c>
      <c r="I353" t="s">
        <v>716</v>
      </c>
    </row>
    <row r="354" spans="1:9" x14ac:dyDescent="0.3">
      <c r="A354" t="s">
        <v>717</v>
      </c>
      <c r="B354" t="s">
        <v>18</v>
      </c>
      <c r="C354" t="s">
        <v>10</v>
      </c>
      <c r="E354">
        <v>122773.62</v>
      </c>
      <c r="G354" s="1">
        <v>45491</v>
      </c>
      <c r="H354" t="s">
        <v>11</v>
      </c>
      <c r="I354" t="s">
        <v>718</v>
      </c>
    </row>
    <row r="355" spans="1:9" x14ac:dyDescent="0.3">
      <c r="A355" t="s">
        <v>719</v>
      </c>
      <c r="B355" t="s">
        <v>143</v>
      </c>
      <c r="C355" t="s">
        <v>29</v>
      </c>
      <c r="E355">
        <v>90316.6</v>
      </c>
      <c r="G355" s="1">
        <v>45250</v>
      </c>
      <c r="H355" t="s">
        <v>30</v>
      </c>
      <c r="I355" t="s">
        <v>720</v>
      </c>
    </row>
    <row r="356" spans="1:9" x14ac:dyDescent="0.3">
      <c r="A356" t="s">
        <v>721</v>
      </c>
      <c r="B356" t="s">
        <v>66</v>
      </c>
      <c r="C356" t="s">
        <v>19</v>
      </c>
      <c r="D356">
        <v>26</v>
      </c>
      <c r="E356">
        <v>55571.75</v>
      </c>
      <c r="F356">
        <v>1444865.5</v>
      </c>
      <c r="G356" s="1">
        <v>45525</v>
      </c>
      <c r="H356" t="s">
        <v>15</v>
      </c>
      <c r="I356" t="s">
        <v>722</v>
      </c>
    </row>
    <row r="357" spans="1:9" x14ac:dyDescent="0.3">
      <c r="A357" t="s">
        <v>723</v>
      </c>
      <c r="B357" t="s">
        <v>57</v>
      </c>
      <c r="C357" t="s">
        <v>14</v>
      </c>
      <c r="D357">
        <v>26</v>
      </c>
      <c r="E357">
        <v>161609.51999999999</v>
      </c>
      <c r="F357">
        <v>4201847.5199999996</v>
      </c>
      <c r="G357" s="1">
        <v>45606</v>
      </c>
      <c r="H357" t="s">
        <v>15</v>
      </c>
      <c r="I357" t="s">
        <v>724</v>
      </c>
    </row>
    <row r="358" spans="1:9" x14ac:dyDescent="0.3">
      <c r="A358" t="s">
        <v>725</v>
      </c>
      <c r="B358" t="s">
        <v>97</v>
      </c>
      <c r="C358" t="s">
        <v>76</v>
      </c>
      <c r="E358">
        <v>72669.97</v>
      </c>
      <c r="G358" s="1">
        <v>45678</v>
      </c>
      <c r="H358" t="s">
        <v>11</v>
      </c>
      <c r="I358" t="s">
        <v>726</v>
      </c>
    </row>
    <row r="359" spans="1:9" x14ac:dyDescent="0.3">
      <c r="A359" t="s">
        <v>727</v>
      </c>
      <c r="B359" t="s">
        <v>57</v>
      </c>
      <c r="C359" t="s">
        <v>29</v>
      </c>
      <c r="E359">
        <v>67990.69</v>
      </c>
      <c r="G359" s="1">
        <v>45599</v>
      </c>
      <c r="H359" t="s">
        <v>30</v>
      </c>
      <c r="I359" t="s">
        <v>728</v>
      </c>
    </row>
    <row r="360" spans="1:9" x14ac:dyDescent="0.3">
      <c r="A360" t="s">
        <v>729</v>
      </c>
      <c r="B360" t="s">
        <v>18</v>
      </c>
      <c r="C360" t="s">
        <v>14</v>
      </c>
      <c r="E360">
        <v>257333.6</v>
      </c>
      <c r="G360" s="1">
        <v>45719</v>
      </c>
      <c r="H360" t="s">
        <v>11</v>
      </c>
      <c r="I360" t="s">
        <v>730</v>
      </c>
    </row>
    <row r="361" spans="1:9" x14ac:dyDescent="0.3">
      <c r="A361" t="s">
        <v>731</v>
      </c>
      <c r="B361" t="s">
        <v>62</v>
      </c>
      <c r="C361" t="s">
        <v>50</v>
      </c>
      <c r="D361">
        <v>33</v>
      </c>
      <c r="E361">
        <v>43733.35</v>
      </c>
      <c r="F361">
        <v>1443200.55</v>
      </c>
      <c r="G361" s="1">
        <v>45771</v>
      </c>
      <c r="H361" t="s">
        <v>51</v>
      </c>
      <c r="I361" t="s">
        <v>732</v>
      </c>
    </row>
    <row r="362" spans="1:9" x14ac:dyDescent="0.3">
      <c r="A362" t="s">
        <v>733</v>
      </c>
      <c r="B362" t="s">
        <v>465</v>
      </c>
      <c r="C362" t="s">
        <v>172</v>
      </c>
      <c r="G362" s="1">
        <v>45413</v>
      </c>
      <c r="H362" t="s">
        <v>51</v>
      </c>
      <c r="I362" t="s">
        <v>734</v>
      </c>
    </row>
    <row r="363" spans="1:9" x14ac:dyDescent="0.3">
      <c r="A363" t="s">
        <v>735</v>
      </c>
      <c r="B363" t="s">
        <v>18</v>
      </c>
      <c r="C363" t="s">
        <v>76</v>
      </c>
      <c r="E363">
        <v>139176.04</v>
      </c>
      <c r="G363" s="1">
        <v>45232</v>
      </c>
      <c r="I363" t="s">
        <v>736</v>
      </c>
    </row>
    <row r="364" spans="1:9" x14ac:dyDescent="0.3">
      <c r="A364" t="s">
        <v>737</v>
      </c>
      <c r="B364" t="s">
        <v>49</v>
      </c>
      <c r="C364" t="s">
        <v>59</v>
      </c>
      <c r="D364">
        <v>46</v>
      </c>
      <c r="E364">
        <v>17758.37</v>
      </c>
      <c r="F364">
        <v>816885.02</v>
      </c>
      <c r="G364" s="1">
        <v>45756</v>
      </c>
      <c r="H364" t="s">
        <v>15</v>
      </c>
      <c r="I364" t="s">
        <v>738</v>
      </c>
    </row>
    <row r="365" spans="1:9" x14ac:dyDescent="0.3">
      <c r="A365" t="s">
        <v>739</v>
      </c>
      <c r="B365" t="s">
        <v>39</v>
      </c>
      <c r="C365" t="s">
        <v>25</v>
      </c>
      <c r="E365">
        <v>124096.91</v>
      </c>
      <c r="G365" s="1">
        <v>45646</v>
      </c>
      <c r="I365" t="s">
        <v>740</v>
      </c>
    </row>
    <row r="366" spans="1:9" x14ac:dyDescent="0.3">
      <c r="B366" t="s">
        <v>46</v>
      </c>
      <c r="C366" t="s">
        <v>98</v>
      </c>
      <c r="D366">
        <v>35</v>
      </c>
      <c r="E366">
        <v>125244.11</v>
      </c>
      <c r="F366">
        <v>4383543.8499999996</v>
      </c>
      <c r="G366" s="1">
        <v>45306</v>
      </c>
      <c r="H366" t="s">
        <v>30</v>
      </c>
    </row>
    <row r="367" spans="1:9" x14ac:dyDescent="0.3">
      <c r="A367" t="s">
        <v>741</v>
      </c>
      <c r="B367" t="s">
        <v>18</v>
      </c>
      <c r="C367" t="s">
        <v>25</v>
      </c>
      <c r="E367">
        <v>159232.54999999999</v>
      </c>
      <c r="G367" s="1">
        <v>45142</v>
      </c>
      <c r="H367" t="s">
        <v>51</v>
      </c>
      <c r="I367" t="s">
        <v>742</v>
      </c>
    </row>
    <row r="368" spans="1:9" x14ac:dyDescent="0.3">
      <c r="A368" t="s">
        <v>743</v>
      </c>
      <c r="B368" t="s">
        <v>49</v>
      </c>
      <c r="C368" t="s">
        <v>25</v>
      </c>
      <c r="E368">
        <v>116831.51</v>
      </c>
      <c r="G368" s="1">
        <v>45562</v>
      </c>
      <c r="I368" t="s">
        <v>744</v>
      </c>
    </row>
    <row r="369" spans="1:9" x14ac:dyDescent="0.3">
      <c r="A369" t="s">
        <v>745</v>
      </c>
      <c r="B369" t="s">
        <v>13</v>
      </c>
      <c r="C369" t="s">
        <v>19</v>
      </c>
      <c r="E369">
        <v>76871.199999999997</v>
      </c>
      <c r="G369" s="1">
        <v>45662</v>
      </c>
      <c r="H369" t="s">
        <v>51</v>
      </c>
      <c r="I369" t="s">
        <v>746</v>
      </c>
    </row>
    <row r="370" spans="1:9" x14ac:dyDescent="0.3">
      <c r="A370" t="s">
        <v>747</v>
      </c>
      <c r="B370" t="s">
        <v>97</v>
      </c>
      <c r="C370" t="s">
        <v>235</v>
      </c>
      <c r="D370">
        <v>44</v>
      </c>
      <c r="E370">
        <v>99413.77</v>
      </c>
      <c r="F370">
        <v>4374205.88</v>
      </c>
      <c r="G370" s="1">
        <v>45203</v>
      </c>
      <c r="H370" t="s">
        <v>51</v>
      </c>
      <c r="I370" t="s">
        <v>748</v>
      </c>
    </row>
    <row r="371" spans="1:9" x14ac:dyDescent="0.3">
      <c r="A371" t="s">
        <v>749</v>
      </c>
      <c r="B371" t="s">
        <v>241</v>
      </c>
      <c r="C371" t="s">
        <v>19</v>
      </c>
      <c r="E371">
        <v>24181.59</v>
      </c>
      <c r="G371" s="1">
        <v>45266</v>
      </c>
      <c r="H371" t="s">
        <v>51</v>
      </c>
      <c r="I371" t="s">
        <v>750</v>
      </c>
    </row>
    <row r="372" spans="1:9" x14ac:dyDescent="0.3">
      <c r="A372" t="s">
        <v>751</v>
      </c>
      <c r="B372" t="s">
        <v>18</v>
      </c>
      <c r="C372" t="s">
        <v>19</v>
      </c>
      <c r="G372" s="1">
        <v>45132</v>
      </c>
      <c r="H372" t="s">
        <v>11</v>
      </c>
      <c r="I372" t="s">
        <v>752</v>
      </c>
    </row>
    <row r="373" spans="1:9" x14ac:dyDescent="0.3">
      <c r="A373" t="s">
        <v>753</v>
      </c>
      <c r="B373" t="s">
        <v>93</v>
      </c>
      <c r="C373" t="s">
        <v>59</v>
      </c>
      <c r="E373">
        <v>135211.15</v>
      </c>
      <c r="G373" s="1">
        <v>45460</v>
      </c>
      <c r="I373" t="s">
        <v>754</v>
      </c>
    </row>
    <row r="374" spans="1:9" x14ac:dyDescent="0.3">
      <c r="A374" t="s">
        <v>755</v>
      </c>
      <c r="B374" t="s">
        <v>83</v>
      </c>
      <c r="C374" t="s">
        <v>59</v>
      </c>
      <c r="E374">
        <v>111637.71</v>
      </c>
      <c r="G374" s="1">
        <v>45361</v>
      </c>
      <c r="H374" t="s">
        <v>15</v>
      </c>
      <c r="I374" t="s">
        <v>756</v>
      </c>
    </row>
    <row r="375" spans="1:9" x14ac:dyDescent="0.3">
      <c r="A375" t="s">
        <v>757</v>
      </c>
      <c r="B375" t="s">
        <v>36</v>
      </c>
      <c r="C375" t="s">
        <v>76</v>
      </c>
      <c r="D375">
        <v>55</v>
      </c>
      <c r="E375">
        <v>160922.84</v>
      </c>
      <c r="F375">
        <v>8850756.1999999993</v>
      </c>
      <c r="G375" s="1">
        <v>45443</v>
      </c>
      <c r="I375" t="s">
        <v>758</v>
      </c>
    </row>
    <row r="376" spans="1:9" x14ac:dyDescent="0.3">
      <c r="A376" t="s">
        <v>759</v>
      </c>
      <c r="B376" t="s">
        <v>46</v>
      </c>
      <c r="C376" t="s">
        <v>19</v>
      </c>
      <c r="E376">
        <v>248907.18</v>
      </c>
      <c r="G376" s="1">
        <v>45235</v>
      </c>
      <c r="H376" t="s">
        <v>15</v>
      </c>
      <c r="I376" t="s">
        <v>760</v>
      </c>
    </row>
    <row r="377" spans="1:9" x14ac:dyDescent="0.3">
      <c r="A377" t="s">
        <v>761</v>
      </c>
      <c r="B377" t="s">
        <v>36</v>
      </c>
      <c r="C377" t="s">
        <v>59</v>
      </c>
      <c r="E377">
        <v>15935.22</v>
      </c>
      <c r="G377" s="1">
        <v>45438</v>
      </c>
      <c r="I377" t="s">
        <v>762</v>
      </c>
    </row>
    <row r="378" spans="1:9" x14ac:dyDescent="0.3">
      <c r="A378" t="s">
        <v>763</v>
      </c>
      <c r="B378" t="s">
        <v>13</v>
      </c>
      <c r="C378" t="s">
        <v>40</v>
      </c>
      <c r="E378">
        <v>113461.81</v>
      </c>
      <c r="G378" s="1">
        <v>45654</v>
      </c>
      <c r="I378" t="s">
        <v>764</v>
      </c>
    </row>
    <row r="379" spans="1:9" x14ac:dyDescent="0.3">
      <c r="B379" t="s">
        <v>33</v>
      </c>
      <c r="C379" t="s">
        <v>29</v>
      </c>
      <c r="D379">
        <v>14</v>
      </c>
      <c r="E379">
        <v>181688.35</v>
      </c>
      <c r="F379">
        <v>2543636.9</v>
      </c>
      <c r="G379" s="1">
        <v>45276</v>
      </c>
      <c r="H379" t="s">
        <v>51</v>
      </c>
      <c r="I379" t="s">
        <v>765</v>
      </c>
    </row>
    <row r="380" spans="1:9" x14ac:dyDescent="0.3">
      <c r="A380" t="s">
        <v>766</v>
      </c>
      <c r="B380" t="s">
        <v>112</v>
      </c>
      <c r="C380" t="s">
        <v>76</v>
      </c>
      <c r="E380">
        <v>12344.49</v>
      </c>
      <c r="G380" s="1">
        <v>45436</v>
      </c>
      <c r="H380" t="s">
        <v>15</v>
      </c>
    </row>
    <row r="381" spans="1:9" x14ac:dyDescent="0.3">
      <c r="A381" t="s">
        <v>767</v>
      </c>
      <c r="B381" t="s">
        <v>28</v>
      </c>
      <c r="C381" t="s">
        <v>29</v>
      </c>
      <c r="E381">
        <v>22298.91</v>
      </c>
      <c r="G381" s="1">
        <v>45507</v>
      </c>
      <c r="H381" t="s">
        <v>15</v>
      </c>
      <c r="I381" t="s">
        <v>768</v>
      </c>
    </row>
    <row r="382" spans="1:9" x14ac:dyDescent="0.3">
      <c r="A382" t="s">
        <v>769</v>
      </c>
      <c r="B382" t="s">
        <v>36</v>
      </c>
      <c r="C382" t="s">
        <v>76</v>
      </c>
      <c r="G382" s="1">
        <v>45719</v>
      </c>
      <c r="H382" t="s">
        <v>15</v>
      </c>
      <c r="I382" t="s">
        <v>770</v>
      </c>
    </row>
    <row r="383" spans="1:9" x14ac:dyDescent="0.3">
      <c r="A383" t="s">
        <v>771</v>
      </c>
      <c r="B383" t="s">
        <v>49</v>
      </c>
      <c r="C383" t="s">
        <v>98</v>
      </c>
      <c r="E383">
        <v>241492.86</v>
      </c>
      <c r="G383" s="1">
        <v>45592</v>
      </c>
      <c r="I383" t="s">
        <v>772</v>
      </c>
    </row>
    <row r="384" spans="1:9" x14ac:dyDescent="0.3">
      <c r="A384" t="s">
        <v>773</v>
      </c>
      <c r="B384" t="s">
        <v>119</v>
      </c>
      <c r="C384" t="s">
        <v>59</v>
      </c>
      <c r="E384">
        <v>176481.31</v>
      </c>
      <c r="G384" s="1">
        <v>45832</v>
      </c>
      <c r="H384" t="s">
        <v>15</v>
      </c>
      <c r="I384" t="s">
        <v>774</v>
      </c>
    </row>
    <row r="385" spans="1:9" x14ac:dyDescent="0.3">
      <c r="A385" t="s">
        <v>775</v>
      </c>
      <c r="B385" t="s">
        <v>87</v>
      </c>
      <c r="C385" t="s">
        <v>19</v>
      </c>
      <c r="E385">
        <v>201599.43</v>
      </c>
      <c r="G385" s="1">
        <v>45484</v>
      </c>
      <c r="I385" t="s">
        <v>776</v>
      </c>
    </row>
    <row r="386" spans="1:9" x14ac:dyDescent="0.3">
      <c r="A386" t="s">
        <v>777</v>
      </c>
      <c r="B386" t="s">
        <v>36</v>
      </c>
      <c r="C386" t="s">
        <v>103</v>
      </c>
      <c r="D386">
        <v>58</v>
      </c>
      <c r="E386">
        <v>65496.45</v>
      </c>
      <c r="F386">
        <v>3798794.1</v>
      </c>
      <c r="G386" s="1">
        <v>45795</v>
      </c>
      <c r="H386" t="s">
        <v>11</v>
      </c>
      <c r="I386" t="s">
        <v>778</v>
      </c>
    </row>
    <row r="387" spans="1:9" x14ac:dyDescent="0.3">
      <c r="A387" t="s">
        <v>779</v>
      </c>
      <c r="B387" t="s">
        <v>28</v>
      </c>
      <c r="C387" t="s">
        <v>76</v>
      </c>
      <c r="E387">
        <v>63062.28</v>
      </c>
      <c r="G387" s="1">
        <v>45776</v>
      </c>
      <c r="H387" t="s">
        <v>51</v>
      </c>
      <c r="I387" t="s">
        <v>780</v>
      </c>
    </row>
    <row r="388" spans="1:9" x14ac:dyDescent="0.3">
      <c r="A388" t="s">
        <v>781</v>
      </c>
      <c r="B388" t="s">
        <v>46</v>
      </c>
      <c r="C388" t="s">
        <v>14</v>
      </c>
      <c r="E388">
        <v>272156.33</v>
      </c>
      <c r="G388" s="1">
        <v>45689</v>
      </c>
      <c r="H388" t="s">
        <v>30</v>
      </c>
      <c r="I388" t="s">
        <v>782</v>
      </c>
    </row>
    <row r="389" spans="1:9" x14ac:dyDescent="0.3">
      <c r="A389" t="s">
        <v>783</v>
      </c>
      <c r="B389" t="s">
        <v>241</v>
      </c>
      <c r="C389" t="s">
        <v>19</v>
      </c>
      <c r="E389">
        <v>91304.81</v>
      </c>
      <c r="G389" s="1">
        <v>45682</v>
      </c>
      <c r="H389" t="s">
        <v>11</v>
      </c>
      <c r="I389" t="s">
        <v>784</v>
      </c>
    </row>
    <row r="390" spans="1:9" x14ac:dyDescent="0.3">
      <c r="A390" t="s">
        <v>785</v>
      </c>
      <c r="B390" t="s">
        <v>49</v>
      </c>
      <c r="C390" t="s">
        <v>98</v>
      </c>
      <c r="D390">
        <v>8</v>
      </c>
      <c r="E390">
        <v>272743.75</v>
      </c>
      <c r="F390">
        <v>2181950</v>
      </c>
      <c r="G390" s="1">
        <v>45166</v>
      </c>
      <c r="H390" t="s">
        <v>15</v>
      </c>
      <c r="I390" t="s">
        <v>786</v>
      </c>
    </row>
    <row r="391" spans="1:9" x14ac:dyDescent="0.3">
      <c r="A391" t="s">
        <v>787</v>
      </c>
      <c r="B391" t="s">
        <v>143</v>
      </c>
      <c r="C391" t="s">
        <v>14</v>
      </c>
      <c r="E391">
        <v>63936.43</v>
      </c>
      <c r="G391" s="1">
        <v>45666</v>
      </c>
      <c r="H391" t="s">
        <v>51</v>
      </c>
      <c r="I391" t="s">
        <v>788</v>
      </c>
    </row>
    <row r="392" spans="1:9" x14ac:dyDescent="0.3">
      <c r="B392" t="s">
        <v>119</v>
      </c>
      <c r="C392" t="s">
        <v>59</v>
      </c>
      <c r="G392" s="1">
        <v>45225</v>
      </c>
      <c r="H392" t="s">
        <v>51</v>
      </c>
      <c r="I392" t="s">
        <v>789</v>
      </c>
    </row>
    <row r="393" spans="1:9" x14ac:dyDescent="0.3">
      <c r="A393" t="s">
        <v>790</v>
      </c>
      <c r="B393" t="s">
        <v>49</v>
      </c>
      <c r="C393" t="s">
        <v>50</v>
      </c>
      <c r="E393">
        <v>57412.1</v>
      </c>
      <c r="G393" s="1">
        <v>45520</v>
      </c>
      <c r="H393" t="s">
        <v>51</v>
      </c>
      <c r="I393" t="s">
        <v>791</v>
      </c>
    </row>
    <row r="394" spans="1:9" x14ac:dyDescent="0.3">
      <c r="A394" t="s">
        <v>792</v>
      </c>
      <c r="B394" t="s">
        <v>119</v>
      </c>
      <c r="C394" t="s">
        <v>10</v>
      </c>
      <c r="D394">
        <v>87</v>
      </c>
      <c r="E394">
        <v>222571.82</v>
      </c>
      <c r="F394">
        <v>19363748.34</v>
      </c>
      <c r="G394" s="1">
        <v>45279</v>
      </c>
      <c r="H394" t="s">
        <v>51</v>
      </c>
    </row>
    <row r="395" spans="1:9" x14ac:dyDescent="0.3">
      <c r="A395" t="s">
        <v>793</v>
      </c>
      <c r="B395" t="s">
        <v>57</v>
      </c>
      <c r="C395" t="s">
        <v>50</v>
      </c>
      <c r="D395">
        <v>4</v>
      </c>
      <c r="E395">
        <v>224190.33</v>
      </c>
      <c r="F395">
        <v>896761.32</v>
      </c>
      <c r="G395" s="1">
        <v>45553</v>
      </c>
      <c r="H395" t="s">
        <v>15</v>
      </c>
      <c r="I395" t="s">
        <v>794</v>
      </c>
    </row>
    <row r="396" spans="1:9" x14ac:dyDescent="0.3">
      <c r="A396" t="s">
        <v>795</v>
      </c>
      <c r="B396" t="s">
        <v>22</v>
      </c>
      <c r="C396" t="s">
        <v>19</v>
      </c>
      <c r="E396">
        <v>226422.06</v>
      </c>
      <c r="G396" s="1">
        <v>45370</v>
      </c>
      <c r="H396" t="s">
        <v>51</v>
      </c>
      <c r="I396" t="s">
        <v>796</v>
      </c>
    </row>
    <row r="397" spans="1:9" x14ac:dyDescent="0.3">
      <c r="A397" t="s">
        <v>797</v>
      </c>
      <c r="B397" t="s">
        <v>33</v>
      </c>
      <c r="C397" t="s">
        <v>98</v>
      </c>
      <c r="D397">
        <v>57</v>
      </c>
      <c r="E397">
        <v>274375.17</v>
      </c>
      <c r="F397">
        <v>15639384.689999999</v>
      </c>
      <c r="G397" s="1">
        <v>45632</v>
      </c>
      <c r="H397" t="s">
        <v>30</v>
      </c>
      <c r="I397" t="s">
        <v>798</v>
      </c>
    </row>
    <row r="398" spans="1:9" x14ac:dyDescent="0.3">
      <c r="A398" t="s">
        <v>799</v>
      </c>
      <c r="B398" t="s">
        <v>259</v>
      </c>
      <c r="C398" t="s">
        <v>14</v>
      </c>
      <c r="D398">
        <v>17</v>
      </c>
      <c r="E398">
        <v>208840.07</v>
      </c>
      <c r="F398">
        <v>3550281.19</v>
      </c>
      <c r="G398" s="1">
        <v>45489</v>
      </c>
      <c r="H398" t="s">
        <v>30</v>
      </c>
      <c r="I398" t="s">
        <v>800</v>
      </c>
    </row>
    <row r="399" spans="1:9" x14ac:dyDescent="0.3">
      <c r="A399" t="s">
        <v>801</v>
      </c>
      <c r="B399" t="s">
        <v>36</v>
      </c>
      <c r="C399" t="s">
        <v>76</v>
      </c>
      <c r="E399">
        <v>211278.69</v>
      </c>
      <c r="G399" s="1">
        <v>45526</v>
      </c>
      <c r="H399" t="s">
        <v>51</v>
      </c>
      <c r="I399" t="s">
        <v>802</v>
      </c>
    </row>
    <row r="400" spans="1:9" x14ac:dyDescent="0.3">
      <c r="A400" t="s">
        <v>803</v>
      </c>
      <c r="B400" t="s">
        <v>46</v>
      </c>
      <c r="C400" t="s">
        <v>14</v>
      </c>
      <c r="E400">
        <v>119291.3</v>
      </c>
      <c r="G400" s="1">
        <v>45410</v>
      </c>
      <c r="I400" t="s">
        <v>804</v>
      </c>
    </row>
    <row r="401" spans="1:9" x14ac:dyDescent="0.3">
      <c r="A401" t="s">
        <v>805</v>
      </c>
      <c r="B401" t="s">
        <v>66</v>
      </c>
      <c r="C401" t="s">
        <v>50</v>
      </c>
      <c r="E401">
        <v>72179.62</v>
      </c>
      <c r="G401" s="1">
        <v>45361</v>
      </c>
      <c r="H401" t="s">
        <v>15</v>
      </c>
      <c r="I401" t="s">
        <v>806</v>
      </c>
    </row>
    <row r="402" spans="1:9" x14ac:dyDescent="0.3">
      <c r="A402" t="s">
        <v>807</v>
      </c>
      <c r="B402" t="s">
        <v>28</v>
      </c>
      <c r="C402" t="s">
        <v>10</v>
      </c>
      <c r="G402" s="1">
        <v>45252</v>
      </c>
      <c r="H402" t="s">
        <v>30</v>
      </c>
      <c r="I402" s="2" t="s">
        <v>808</v>
      </c>
    </row>
    <row r="403" spans="1:9" x14ac:dyDescent="0.3">
      <c r="A403" t="s">
        <v>809</v>
      </c>
      <c r="B403" t="s">
        <v>22</v>
      </c>
      <c r="C403" t="s">
        <v>25</v>
      </c>
      <c r="E403">
        <v>96823.7</v>
      </c>
      <c r="G403" s="1">
        <v>45475</v>
      </c>
      <c r="H403" t="s">
        <v>30</v>
      </c>
      <c r="I403" t="s">
        <v>810</v>
      </c>
    </row>
    <row r="404" spans="1:9" x14ac:dyDescent="0.3">
      <c r="A404" t="s">
        <v>811</v>
      </c>
      <c r="B404" t="s">
        <v>93</v>
      </c>
      <c r="C404" t="s">
        <v>59</v>
      </c>
      <c r="E404">
        <v>85276.23</v>
      </c>
      <c r="G404" s="1">
        <v>45826</v>
      </c>
      <c r="H404" t="s">
        <v>30</v>
      </c>
      <c r="I404" t="s">
        <v>812</v>
      </c>
    </row>
    <row r="405" spans="1:9" x14ac:dyDescent="0.3">
      <c r="B405" t="s">
        <v>93</v>
      </c>
      <c r="C405" t="s">
        <v>76</v>
      </c>
      <c r="E405">
        <v>140142.01</v>
      </c>
      <c r="G405" s="1">
        <v>45532</v>
      </c>
      <c r="H405" t="s">
        <v>11</v>
      </c>
      <c r="I405" t="s">
        <v>813</v>
      </c>
    </row>
    <row r="406" spans="1:9" x14ac:dyDescent="0.3">
      <c r="A406" t="s">
        <v>814</v>
      </c>
      <c r="B406" t="s">
        <v>46</v>
      </c>
      <c r="C406" t="s">
        <v>50</v>
      </c>
      <c r="D406">
        <v>98</v>
      </c>
      <c r="E406">
        <v>194792.04</v>
      </c>
      <c r="F406">
        <v>19089619.920000002</v>
      </c>
      <c r="G406" s="1">
        <v>45383</v>
      </c>
      <c r="H406" t="s">
        <v>11</v>
      </c>
      <c r="I406" t="s">
        <v>815</v>
      </c>
    </row>
    <row r="407" spans="1:9" x14ac:dyDescent="0.3">
      <c r="A407" t="s">
        <v>816</v>
      </c>
      <c r="B407" t="s">
        <v>69</v>
      </c>
      <c r="C407" t="s">
        <v>59</v>
      </c>
      <c r="D407">
        <v>74</v>
      </c>
      <c r="E407">
        <v>92872.47</v>
      </c>
      <c r="F407">
        <v>6872562.7800000003</v>
      </c>
      <c r="G407" s="1">
        <v>45542</v>
      </c>
      <c r="H407" t="s">
        <v>30</v>
      </c>
      <c r="I407" t="s">
        <v>817</v>
      </c>
    </row>
    <row r="408" spans="1:9" x14ac:dyDescent="0.3">
      <c r="A408" t="s">
        <v>818</v>
      </c>
      <c r="B408" t="s">
        <v>93</v>
      </c>
      <c r="C408" t="s">
        <v>76</v>
      </c>
      <c r="E408">
        <v>108213.56</v>
      </c>
      <c r="G408" s="1">
        <v>45393</v>
      </c>
    </row>
    <row r="409" spans="1:9" x14ac:dyDescent="0.3">
      <c r="A409" t="s">
        <v>819</v>
      </c>
      <c r="B409" t="s">
        <v>97</v>
      </c>
      <c r="C409" t="s">
        <v>59</v>
      </c>
      <c r="E409">
        <v>264902.18</v>
      </c>
      <c r="G409" s="1">
        <v>45642</v>
      </c>
      <c r="H409" t="s">
        <v>15</v>
      </c>
      <c r="I409" t="s">
        <v>820</v>
      </c>
    </row>
    <row r="410" spans="1:9" x14ac:dyDescent="0.3">
      <c r="A410" t="s">
        <v>821</v>
      </c>
      <c r="B410" t="s">
        <v>46</v>
      </c>
      <c r="C410" t="s">
        <v>10</v>
      </c>
      <c r="E410">
        <v>140068.22</v>
      </c>
      <c r="G410" s="1">
        <v>45717</v>
      </c>
      <c r="H410" t="s">
        <v>15</v>
      </c>
      <c r="I410" t="s">
        <v>822</v>
      </c>
    </row>
    <row r="411" spans="1:9" x14ac:dyDescent="0.3">
      <c r="A411" t="s">
        <v>823</v>
      </c>
      <c r="B411" t="s">
        <v>22</v>
      </c>
      <c r="C411" t="s">
        <v>98</v>
      </c>
      <c r="D411">
        <v>32</v>
      </c>
      <c r="E411">
        <v>240943.58</v>
      </c>
      <c r="F411">
        <v>7710194.5599999996</v>
      </c>
      <c r="G411" s="1">
        <v>45791</v>
      </c>
      <c r="H411" t="s">
        <v>30</v>
      </c>
      <c r="I411" t="s">
        <v>824</v>
      </c>
    </row>
    <row r="412" spans="1:9" x14ac:dyDescent="0.3">
      <c r="A412" t="s">
        <v>825</v>
      </c>
      <c r="B412" t="s">
        <v>18</v>
      </c>
      <c r="C412" t="s">
        <v>50</v>
      </c>
      <c r="G412" s="1">
        <v>45677</v>
      </c>
      <c r="H412" t="s">
        <v>30</v>
      </c>
      <c r="I412" t="s">
        <v>826</v>
      </c>
    </row>
    <row r="413" spans="1:9" x14ac:dyDescent="0.3">
      <c r="A413" t="s">
        <v>827</v>
      </c>
      <c r="B413" t="s">
        <v>93</v>
      </c>
      <c r="C413" t="s">
        <v>29</v>
      </c>
      <c r="E413">
        <v>216862.87</v>
      </c>
      <c r="G413" s="1">
        <v>45646</v>
      </c>
      <c r="H413" t="s">
        <v>15</v>
      </c>
      <c r="I413" t="s">
        <v>828</v>
      </c>
    </row>
    <row r="414" spans="1:9" x14ac:dyDescent="0.3">
      <c r="A414" t="s">
        <v>829</v>
      </c>
      <c r="B414" t="s">
        <v>33</v>
      </c>
      <c r="C414" t="s">
        <v>25</v>
      </c>
      <c r="E414">
        <v>228607.88</v>
      </c>
      <c r="G414" s="1">
        <v>45617</v>
      </c>
      <c r="I414" t="s">
        <v>830</v>
      </c>
    </row>
    <row r="415" spans="1:9" x14ac:dyDescent="0.3">
      <c r="A415" t="s">
        <v>831</v>
      </c>
      <c r="B415" t="s">
        <v>115</v>
      </c>
      <c r="C415" t="s">
        <v>29</v>
      </c>
      <c r="D415">
        <v>72</v>
      </c>
      <c r="E415">
        <v>96409.87</v>
      </c>
      <c r="F415">
        <v>6941510.6399999997</v>
      </c>
      <c r="G415" s="1">
        <v>45742</v>
      </c>
      <c r="H415" t="s">
        <v>11</v>
      </c>
      <c r="I415" t="s">
        <v>832</v>
      </c>
    </row>
    <row r="416" spans="1:9" x14ac:dyDescent="0.3">
      <c r="A416" t="s">
        <v>833</v>
      </c>
      <c r="B416" t="s">
        <v>363</v>
      </c>
      <c r="C416" t="s">
        <v>50</v>
      </c>
      <c r="E416">
        <v>61336.68</v>
      </c>
      <c r="G416" s="1">
        <v>45656</v>
      </c>
      <c r="H416" t="s">
        <v>11</v>
      </c>
      <c r="I416" t="s">
        <v>834</v>
      </c>
    </row>
    <row r="417" spans="1:9" x14ac:dyDescent="0.3">
      <c r="A417" t="s">
        <v>835</v>
      </c>
      <c r="B417" t="s">
        <v>230</v>
      </c>
      <c r="C417" t="s">
        <v>76</v>
      </c>
      <c r="E417">
        <v>94220.14</v>
      </c>
      <c r="G417" s="1">
        <v>45323</v>
      </c>
      <c r="H417" t="s">
        <v>30</v>
      </c>
      <c r="I417" t="s">
        <v>836</v>
      </c>
    </row>
    <row r="418" spans="1:9" x14ac:dyDescent="0.3">
      <c r="B418" t="s">
        <v>22</v>
      </c>
      <c r="C418" t="s">
        <v>84</v>
      </c>
      <c r="E418">
        <v>14191.78</v>
      </c>
      <c r="G418" s="1">
        <v>45591</v>
      </c>
      <c r="H418" t="s">
        <v>15</v>
      </c>
      <c r="I418" t="s">
        <v>837</v>
      </c>
    </row>
    <row r="419" spans="1:9" x14ac:dyDescent="0.3">
      <c r="A419" t="s">
        <v>838</v>
      </c>
      <c r="B419" t="s">
        <v>57</v>
      </c>
      <c r="C419" t="s">
        <v>50</v>
      </c>
      <c r="E419">
        <v>259293.41</v>
      </c>
      <c r="G419" s="1">
        <v>45494</v>
      </c>
      <c r="H419" t="s">
        <v>11</v>
      </c>
      <c r="I419" t="s">
        <v>839</v>
      </c>
    </row>
    <row r="420" spans="1:9" x14ac:dyDescent="0.3">
      <c r="A420" t="s">
        <v>840</v>
      </c>
      <c r="B420" t="s">
        <v>83</v>
      </c>
      <c r="C420" t="s">
        <v>19</v>
      </c>
      <c r="D420">
        <v>63</v>
      </c>
      <c r="E420">
        <v>222505.09</v>
      </c>
      <c r="F420">
        <v>14017820.67</v>
      </c>
      <c r="G420" s="1">
        <v>45267</v>
      </c>
      <c r="I420" t="s">
        <v>841</v>
      </c>
    </row>
    <row r="421" spans="1:9" x14ac:dyDescent="0.3">
      <c r="A421" t="s">
        <v>842</v>
      </c>
      <c r="B421" t="s">
        <v>119</v>
      </c>
      <c r="C421" t="s">
        <v>14</v>
      </c>
      <c r="D421">
        <v>16</v>
      </c>
      <c r="E421">
        <v>5357.86</v>
      </c>
      <c r="F421">
        <v>85725.759999999995</v>
      </c>
      <c r="G421" s="1">
        <v>45309</v>
      </c>
      <c r="H421" t="s">
        <v>30</v>
      </c>
      <c r="I421" t="s">
        <v>843</v>
      </c>
    </row>
    <row r="422" spans="1:9" x14ac:dyDescent="0.3">
      <c r="A422" t="s">
        <v>844</v>
      </c>
      <c r="B422" t="s">
        <v>143</v>
      </c>
      <c r="C422" t="s">
        <v>25</v>
      </c>
      <c r="G422" s="1">
        <v>45334</v>
      </c>
      <c r="H422" t="s">
        <v>51</v>
      </c>
    </row>
    <row r="423" spans="1:9" x14ac:dyDescent="0.3">
      <c r="A423" t="s">
        <v>845</v>
      </c>
      <c r="B423" t="s">
        <v>22</v>
      </c>
      <c r="C423" t="s">
        <v>98</v>
      </c>
      <c r="E423">
        <v>166216.81</v>
      </c>
      <c r="G423" s="1">
        <v>45551</v>
      </c>
      <c r="H423" t="s">
        <v>30</v>
      </c>
      <c r="I423" t="s">
        <v>846</v>
      </c>
    </row>
    <row r="424" spans="1:9" x14ac:dyDescent="0.3">
      <c r="A424" t="s">
        <v>847</v>
      </c>
      <c r="B424" t="s">
        <v>22</v>
      </c>
      <c r="C424" t="s">
        <v>98</v>
      </c>
      <c r="D424">
        <v>57</v>
      </c>
      <c r="E424">
        <v>175417.55</v>
      </c>
      <c r="F424">
        <v>9998800.3499999996</v>
      </c>
      <c r="G424" s="1">
        <v>45349</v>
      </c>
      <c r="H424" t="s">
        <v>51</v>
      </c>
      <c r="I424" t="s">
        <v>848</v>
      </c>
    </row>
    <row r="425" spans="1:9" x14ac:dyDescent="0.3">
      <c r="A425" t="s">
        <v>849</v>
      </c>
      <c r="B425" t="s">
        <v>69</v>
      </c>
      <c r="C425" t="s">
        <v>59</v>
      </c>
      <c r="E425">
        <v>216143.58</v>
      </c>
      <c r="G425" s="1">
        <v>45292</v>
      </c>
      <c r="H425" t="s">
        <v>30</v>
      </c>
      <c r="I425" t="s">
        <v>850</v>
      </c>
    </row>
    <row r="426" spans="1:9" x14ac:dyDescent="0.3">
      <c r="A426" t="s">
        <v>851</v>
      </c>
      <c r="B426" t="s">
        <v>57</v>
      </c>
      <c r="C426" t="s">
        <v>138</v>
      </c>
      <c r="E426">
        <v>88910.09</v>
      </c>
      <c r="G426" s="1">
        <v>45349</v>
      </c>
      <c r="H426" t="s">
        <v>15</v>
      </c>
      <c r="I426" t="s">
        <v>852</v>
      </c>
    </row>
    <row r="427" spans="1:9" x14ac:dyDescent="0.3">
      <c r="A427" t="s">
        <v>853</v>
      </c>
      <c r="B427" t="s">
        <v>115</v>
      </c>
      <c r="C427" t="s">
        <v>25</v>
      </c>
      <c r="D427">
        <v>91</v>
      </c>
      <c r="E427">
        <v>59259.44</v>
      </c>
      <c r="F427">
        <v>5392609.04</v>
      </c>
      <c r="G427" s="1">
        <v>45716</v>
      </c>
      <c r="H427" t="s">
        <v>15</v>
      </c>
      <c r="I427" t="s">
        <v>854</v>
      </c>
    </row>
    <row r="428" spans="1:9" x14ac:dyDescent="0.3">
      <c r="A428" t="s">
        <v>855</v>
      </c>
      <c r="B428" t="s">
        <v>97</v>
      </c>
      <c r="C428" t="s">
        <v>59</v>
      </c>
      <c r="E428">
        <v>69390.58</v>
      </c>
      <c r="G428" s="1">
        <v>45342</v>
      </c>
      <c r="H428" t="s">
        <v>15</v>
      </c>
      <c r="I428" t="s">
        <v>856</v>
      </c>
    </row>
    <row r="429" spans="1:9" x14ac:dyDescent="0.3">
      <c r="A429" t="s">
        <v>857</v>
      </c>
      <c r="B429" t="s">
        <v>18</v>
      </c>
      <c r="C429" t="s">
        <v>59</v>
      </c>
      <c r="E429">
        <v>171151.96</v>
      </c>
      <c r="G429" s="1">
        <v>45665</v>
      </c>
      <c r="H429" t="s">
        <v>15</v>
      </c>
      <c r="I429" t="s">
        <v>858</v>
      </c>
    </row>
    <row r="430" spans="1:9" x14ac:dyDescent="0.3">
      <c r="A430" t="s">
        <v>859</v>
      </c>
      <c r="B430" t="s">
        <v>39</v>
      </c>
      <c r="C430" t="s">
        <v>76</v>
      </c>
      <c r="E430">
        <v>74096.14</v>
      </c>
      <c r="G430" s="1">
        <v>45278</v>
      </c>
      <c r="I430" t="s">
        <v>860</v>
      </c>
    </row>
    <row r="431" spans="1:9" x14ac:dyDescent="0.3">
      <c r="B431" t="s">
        <v>18</v>
      </c>
      <c r="C431" t="s">
        <v>14</v>
      </c>
      <c r="E431">
        <v>165417.44</v>
      </c>
      <c r="G431" s="1">
        <v>45654</v>
      </c>
      <c r="I431" t="s">
        <v>861</v>
      </c>
    </row>
    <row r="432" spans="1:9" x14ac:dyDescent="0.3">
      <c r="A432" t="s">
        <v>862</v>
      </c>
      <c r="B432" t="s">
        <v>119</v>
      </c>
      <c r="C432" t="s">
        <v>29</v>
      </c>
      <c r="D432">
        <v>82</v>
      </c>
      <c r="G432" s="1">
        <v>45665</v>
      </c>
      <c r="H432" t="s">
        <v>51</v>
      </c>
      <c r="I432" t="s">
        <v>863</v>
      </c>
    </row>
    <row r="433" spans="1:9" x14ac:dyDescent="0.3">
      <c r="A433" t="s">
        <v>864</v>
      </c>
      <c r="B433" t="s">
        <v>62</v>
      </c>
      <c r="C433" t="s">
        <v>76</v>
      </c>
      <c r="E433">
        <v>283067.63</v>
      </c>
      <c r="G433" s="1">
        <v>45497</v>
      </c>
      <c r="I433" t="s">
        <v>865</v>
      </c>
    </row>
    <row r="434" spans="1:9" x14ac:dyDescent="0.3">
      <c r="A434" t="s">
        <v>866</v>
      </c>
      <c r="B434" t="s">
        <v>867</v>
      </c>
      <c r="C434" t="s">
        <v>235</v>
      </c>
      <c r="D434">
        <v>29</v>
      </c>
      <c r="E434">
        <v>101600.5</v>
      </c>
      <c r="F434">
        <v>2946414.5</v>
      </c>
      <c r="G434" s="1">
        <v>45364</v>
      </c>
      <c r="H434" t="s">
        <v>30</v>
      </c>
      <c r="I434" t="s">
        <v>868</v>
      </c>
    </row>
    <row r="435" spans="1:9" x14ac:dyDescent="0.3">
      <c r="A435" t="s">
        <v>869</v>
      </c>
      <c r="B435" t="s">
        <v>36</v>
      </c>
      <c r="C435" t="s">
        <v>14</v>
      </c>
      <c r="D435">
        <v>26</v>
      </c>
      <c r="E435">
        <v>229126.51</v>
      </c>
      <c r="F435">
        <v>5957289.2599999998</v>
      </c>
      <c r="G435" s="1">
        <v>45490</v>
      </c>
      <c r="H435" t="s">
        <v>15</v>
      </c>
      <c r="I435" t="s">
        <v>870</v>
      </c>
    </row>
    <row r="436" spans="1:9" x14ac:dyDescent="0.3">
      <c r="A436" t="s">
        <v>871</v>
      </c>
      <c r="B436" t="s">
        <v>97</v>
      </c>
      <c r="C436" t="s">
        <v>14</v>
      </c>
      <c r="E436">
        <v>146842.01999999999</v>
      </c>
      <c r="G436" s="1">
        <v>45388</v>
      </c>
      <c r="H436" t="s">
        <v>11</v>
      </c>
    </row>
    <row r="437" spans="1:9" x14ac:dyDescent="0.3">
      <c r="A437" t="s">
        <v>872</v>
      </c>
      <c r="B437" t="s">
        <v>13</v>
      </c>
      <c r="C437" t="s">
        <v>50</v>
      </c>
      <c r="E437">
        <v>217205.6</v>
      </c>
      <c r="G437" s="1">
        <v>45553</v>
      </c>
      <c r="H437" t="s">
        <v>11</v>
      </c>
      <c r="I437" t="s">
        <v>873</v>
      </c>
    </row>
    <row r="438" spans="1:9" x14ac:dyDescent="0.3">
      <c r="A438" t="s">
        <v>874</v>
      </c>
      <c r="B438" t="s">
        <v>33</v>
      </c>
      <c r="C438" t="s">
        <v>76</v>
      </c>
      <c r="E438">
        <v>222008.43</v>
      </c>
      <c r="G438" s="1">
        <v>45843</v>
      </c>
      <c r="H438" t="s">
        <v>11</v>
      </c>
      <c r="I438" t="s">
        <v>875</v>
      </c>
    </row>
    <row r="439" spans="1:9" x14ac:dyDescent="0.3">
      <c r="A439" t="s">
        <v>876</v>
      </c>
      <c r="B439" t="s">
        <v>18</v>
      </c>
      <c r="C439" t="s">
        <v>29</v>
      </c>
      <c r="E439">
        <v>138518.29</v>
      </c>
      <c r="G439" s="1">
        <v>45843</v>
      </c>
      <c r="H439" t="s">
        <v>30</v>
      </c>
      <c r="I439" t="s">
        <v>877</v>
      </c>
    </row>
    <row r="440" spans="1:9" x14ac:dyDescent="0.3">
      <c r="A440" t="s">
        <v>878</v>
      </c>
      <c r="B440" t="s">
        <v>93</v>
      </c>
      <c r="C440" t="s">
        <v>19</v>
      </c>
      <c r="D440">
        <v>71</v>
      </c>
      <c r="E440">
        <v>219965.28</v>
      </c>
      <c r="F440">
        <v>15617534.880000001</v>
      </c>
      <c r="G440" s="1">
        <v>45735</v>
      </c>
      <c r="H440" t="s">
        <v>11</v>
      </c>
      <c r="I440" t="s">
        <v>879</v>
      </c>
    </row>
    <row r="441" spans="1:9" x14ac:dyDescent="0.3">
      <c r="A441" t="s">
        <v>880</v>
      </c>
      <c r="B441" t="s">
        <v>87</v>
      </c>
      <c r="C441" t="s">
        <v>14</v>
      </c>
      <c r="D441">
        <v>79</v>
      </c>
      <c r="E441">
        <v>105976.76</v>
      </c>
      <c r="F441">
        <v>8372164.04</v>
      </c>
      <c r="G441" s="1">
        <v>45678</v>
      </c>
      <c r="H441" t="s">
        <v>11</v>
      </c>
      <c r="I441" t="s">
        <v>881</v>
      </c>
    </row>
    <row r="442" spans="1:9" x14ac:dyDescent="0.3">
      <c r="A442" t="s">
        <v>882</v>
      </c>
      <c r="B442" t="s">
        <v>18</v>
      </c>
      <c r="C442" t="s">
        <v>40</v>
      </c>
      <c r="G442" s="1">
        <v>45330</v>
      </c>
      <c r="H442" t="s">
        <v>51</v>
      </c>
      <c r="I442" t="s">
        <v>883</v>
      </c>
    </row>
    <row r="443" spans="1:9" x14ac:dyDescent="0.3">
      <c r="A443" t="s">
        <v>884</v>
      </c>
      <c r="B443" t="s">
        <v>363</v>
      </c>
      <c r="C443" t="s">
        <v>19</v>
      </c>
      <c r="E443">
        <v>42417.58</v>
      </c>
      <c r="G443" s="1">
        <v>45341</v>
      </c>
      <c r="H443" t="s">
        <v>30</v>
      </c>
      <c r="I443" t="s">
        <v>885</v>
      </c>
    </row>
    <row r="444" spans="1:9" x14ac:dyDescent="0.3">
      <c r="B444" t="s">
        <v>33</v>
      </c>
      <c r="C444" t="s">
        <v>25</v>
      </c>
      <c r="E444">
        <v>164190.63</v>
      </c>
      <c r="G444" s="1">
        <v>45212</v>
      </c>
      <c r="H444" t="s">
        <v>30</v>
      </c>
      <c r="I444" t="s">
        <v>886</v>
      </c>
    </row>
    <row r="445" spans="1:9" x14ac:dyDescent="0.3">
      <c r="A445" t="s">
        <v>887</v>
      </c>
      <c r="B445" t="s">
        <v>66</v>
      </c>
      <c r="C445" t="s">
        <v>19</v>
      </c>
      <c r="E445">
        <v>55622.31</v>
      </c>
      <c r="G445" s="1">
        <v>45563</v>
      </c>
      <c r="H445" t="s">
        <v>11</v>
      </c>
      <c r="I445" t="s">
        <v>888</v>
      </c>
    </row>
    <row r="446" spans="1:9" x14ac:dyDescent="0.3">
      <c r="A446" t="s">
        <v>889</v>
      </c>
      <c r="B446" t="s">
        <v>46</v>
      </c>
      <c r="C446" t="s">
        <v>25</v>
      </c>
      <c r="E446">
        <v>266864.68</v>
      </c>
      <c r="G446" s="1">
        <v>45643</v>
      </c>
      <c r="H446" t="s">
        <v>30</v>
      </c>
      <c r="I446" t="s">
        <v>890</v>
      </c>
    </row>
    <row r="447" spans="1:9" x14ac:dyDescent="0.3">
      <c r="A447" t="s">
        <v>891</v>
      </c>
      <c r="B447" t="s">
        <v>119</v>
      </c>
      <c r="C447" t="s">
        <v>98</v>
      </c>
      <c r="D447">
        <v>74</v>
      </c>
      <c r="E447">
        <v>297101.90000000002</v>
      </c>
      <c r="F447">
        <v>21985540.600000001</v>
      </c>
      <c r="G447" s="1">
        <v>45539</v>
      </c>
      <c r="H447" t="s">
        <v>51</v>
      </c>
      <c r="I447" t="s">
        <v>892</v>
      </c>
    </row>
    <row r="448" spans="1:9" x14ac:dyDescent="0.3">
      <c r="A448" t="s">
        <v>893</v>
      </c>
      <c r="B448" t="s">
        <v>97</v>
      </c>
      <c r="C448" t="s">
        <v>19</v>
      </c>
      <c r="E448">
        <v>287192.45</v>
      </c>
      <c r="G448" s="1">
        <v>45412</v>
      </c>
      <c r="H448" t="s">
        <v>51</v>
      </c>
      <c r="I448" t="s">
        <v>894</v>
      </c>
    </row>
    <row r="449" spans="1:9" x14ac:dyDescent="0.3">
      <c r="A449" t="s">
        <v>895</v>
      </c>
      <c r="B449" t="s">
        <v>46</v>
      </c>
      <c r="C449" t="s">
        <v>25</v>
      </c>
      <c r="D449">
        <v>83</v>
      </c>
      <c r="E449">
        <v>157421.35</v>
      </c>
      <c r="F449">
        <v>13065972.050000001</v>
      </c>
      <c r="G449" s="1">
        <v>45813</v>
      </c>
      <c r="H449" t="s">
        <v>15</v>
      </c>
      <c r="I449" t="s">
        <v>896</v>
      </c>
    </row>
    <row r="450" spans="1:9" x14ac:dyDescent="0.3">
      <c r="A450" t="s">
        <v>897</v>
      </c>
      <c r="B450" t="s">
        <v>66</v>
      </c>
      <c r="C450" t="s">
        <v>235</v>
      </c>
      <c r="E450">
        <v>251801.01</v>
      </c>
      <c r="G450" s="1">
        <v>45424</v>
      </c>
      <c r="H450" t="s">
        <v>51</v>
      </c>
    </row>
    <row r="451" spans="1:9" x14ac:dyDescent="0.3">
      <c r="A451" t="s">
        <v>898</v>
      </c>
      <c r="B451" t="s">
        <v>62</v>
      </c>
      <c r="C451" t="s">
        <v>50</v>
      </c>
      <c r="E451">
        <v>22761.96</v>
      </c>
      <c r="G451" s="1">
        <v>45753</v>
      </c>
      <c r="H451" t="s">
        <v>15</v>
      </c>
      <c r="I451" t="s">
        <v>899</v>
      </c>
    </row>
    <row r="452" spans="1:9" x14ac:dyDescent="0.3">
      <c r="A452" t="s">
        <v>900</v>
      </c>
      <c r="B452" t="s">
        <v>9</v>
      </c>
      <c r="C452" t="s">
        <v>19</v>
      </c>
      <c r="D452">
        <v>45</v>
      </c>
      <c r="G452" s="1">
        <v>45386</v>
      </c>
      <c r="H452" t="s">
        <v>11</v>
      </c>
      <c r="I452" t="s">
        <v>901</v>
      </c>
    </row>
    <row r="453" spans="1:9" x14ac:dyDescent="0.3">
      <c r="A453" t="s">
        <v>902</v>
      </c>
      <c r="B453" t="s">
        <v>115</v>
      </c>
      <c r="C453" t="s">
        <v>59</v>
      </c>
      <c r="E453">
        <v>245489.78</v>
      </c>
      <c r="G453" s="1">
        <v>45718</v>
      </c>
      <c r="H453" t="s">
        <v>15</v>
      </c>
      <c r="I453" t="s">
        <v>903</v>
      </c>
    </row>
    <row r="454" spans="1:9" x14ac:dyDescent="0.3">
      <c r="A454" t="s">
        <v>904</v>
      </c>
      <c r="B454" t="s">
        <v>87</v>
      </c>
      <c r="C454" t="s">
        <v>25</v>
      </c>
      <c r="E454">
        <v>15030.06</v>
      </c>
      <c r="G454" s="1">
        <v>45742</v>
      </c>
      <c r="H454" t="s">
        <v>15</v>
      </c>
      <c r="I454" t="s">
        <v>905</v>
      </c>
    </row>
    <row r="455" spans="1:9" x14ac:dyDescent="0.3">
      <c r="A455" t="s">
        <v>906</v>
      </c>
      <c r="B455" t="s">
        <v>57</v>
      </c>
      <c r="C455" t="s">
        <v>76</v>
      </c>
      <c r="D455">
        <v>24</v>
      </c>
      <c r="E455">
        <v>2411.96</v>
      </c>
      <c r="F455">
        <v>57887.040000000001</v>
      </c>
      <c r="G455" s="1">
        <v>45231</v>
      </c>
      <c r="H455" t="s">
        <v>11</v>
      </c>
      <c r="I455" t="s">
        <v>907</v>
      </c>
    </row>
    <row r="456" spans="1:9" x14ac:dyDescent="0.3">
      <c r="A456" t="s">
        <v>908</v>
      </c>
      <c r="B456" t="s">
        <v>18</v>
      </c>
      <c r="C456" t="s">
        <v>25</v>
      </c>
      <c r="E456">
        <v>41678.71</v>
      </c>
      <c r="G456" s="1">
        <v>45343</v>
      </c>
      <c r="H456" t="s">
        <v>15</v>
      </c>
      <c r="I456" t="s">
        <v>909</v>
      </c>
    </row>
    <row r="457" spans="1:9" x14ac:dyDescent="0.3">
      <c r="B457" t="s">
        <v>49</v>
      </c>
      <c r="C457" t="s">
        <v>19</v>
      </c>
      <c r="D457">
        <v>8</v>
      </c>
      <c r="E457">
        <v>189395.14</v>
      </c>
      <c r="F457">
        <v>1515161.12</v>
      </c>
      <c r="G457" s="1">
        <v>45150</v>
      </c>
      <c r="H457" t="s">
        <v>51</v>
      </c>
      <c r="I457" t="s">
        <v>910</v>
      </c>
    </row>
    <row r="458" spans="1:9" x14ac:dyDescent="0.3">
      <c r="A458" t="s">
        <v>911</v>
      </c>
      <c r="B458" t="s">
        <v>46</v>
      </c>
      <c r="C458" t="s">
        <v>172</v>
      </c>
      <c r="D458">
        <v>67</v>
      </c>
      <c r="E458">
        <v>20856.400000000001</v>
      </c>
      <c r="F458">
        <v>1397378.8</v>
      </c>
      <c r="G458" s="1">
        <v>45341</v>
      </c>
      <c r="H458" t="s">
        <v>11</v>
      </c>
      <c r="I458" t="s">
        <v>912</v>
      </c>
    </row>
    <row r="459" spans="1:9" x14ac:dyDescent="0.3">
      <c r="A459" t="s">
        <v>913</v>
      </c>
      <c r="B459" t="s">
        <v>13</v>
      </c>
      <c r="C459" t="s">
        <v>29</v>
      </c>
      <c r="D459">
        <v>39</v>
      </c>
      <c r="E459">
        <v>45733.38</v>
      </c>
      <c r="F459">
        <v>1783601.82</v>
      </c>
      <c r="G459" s="1">
        <v>45672</v>
      </c>
      <c r="H459" t="s">
        <v>30</v>
      </c>
      <c r="I459" t="s">
        <v>914</v>
      </c>
    </row>
    <row r="460" spans="1:9" x14ac:dyDescent="0.3">
      <c r="A460" t="s">
        <v>915</v>
      </c>
      <c r="B460" t="s">
        <v>62</v>
      </c>
      <c r="C460" t="s">
        <v>76</v>
      </c>
      <c r="E460">
        <v>66006.539999999994</v>
      </c>
      <c r="G460" s="1">
        <v>45179</v>
      </c>
      <c r="H460" t="s">
        <v>15</v>
      </c>
      <c r="I460" t="s">
        <v>916</v>
      </c>
    </row>
    <row r="461" spans="1:9" x14ac:dyDescent="0.3">
      <c r="A461" t="s">
        <v>917</v>
      </c>
      <c r="B461" t="s">
        <v>131</v>
      </c>
      <c r="C461" t="s">
        <v>19</v>
      </c>
      <c r="D461">
        <v>91</v>
      </c>
      <c r="E461">
        <v>137074.89000000001</v>
      </c>
      <c r="F461">
        <v>12473814.99</v>
      </c>
      <c r="G461" s="1">
        <v>45387</v>
      </c>
      <c r="H461" t="s">
        <v>51</v>
      </c>
      <c r="I461" t="s">
        <v>918</v>
      </c>
    </row>
    <row r="462" spans="1:9" x14ac:dyDescent="0.3">
      <c r="A462" t="s">
        <v>919</v>
      </c>
      <c r="B462" t="s">
        <v>57</v>
      </c>
      <c r="C462" t="s">
        <v>50</v>
      </c>
      <c r="G462" s="1">
        <v>45835</v>
      </c>
      <c r="H462" t="s">
        <v>30</v>
      </c>
      <c r="I462" t="s">
        <v>920</v>
      </c>
    </row>
    <row r="463" spans="1:9" x14ac:dyDescent="0.3">
      <c r="A463" t="s">
        <v>921</v>
      </c>
      <c r="B463" t="s">
        <v>119</v>
      </c>
      <c r="C463" t="s">
        <v>29</v>
      </c>
      <c r="D463">
        <v>37</v>
      </c>
      <c r="E463">
        <v>18604.810000000001</v>
      </c>
      <c r="F463">
        <v>688377.97</v>
      </c>
      <c r="G463" s="1">
        <v>45461</v>
      </c>
      <c r="H463" t="s">
        <v>11</v>
      </c>
      <c r="I463" t="s">
        <v>922</v>
      </c>
    </row>
    <row r="464" spans="1:9" x14ac:dyDescent="0.3">
      <c r="A464" t="s">
        <v>923</v>
      </c>
      <c r="B464" t="s">
        <v>46</v>
      </c>
      <c r="C464" t="s">
        <v>76</v>
      </c>
      <c r="D464">
        <v>33</v>
      </c>
      <c r="E464">
        <v>191499.71</v>
      </c>
      <c r="F464">
        <v>6319490.4299999997</v>
      </c>
      <c r="G464" s="1">
        <v>45627</v>
      </c>
      <c r="H464" t="s">
        <v>11</v>
      </c>
    </row>
    <row r="465" spans="1:9" x14ac:dyDescent="0.3">
      <c r="A465" t="s">
        <v>924</v>
      </c>
      <c r="B465" t="s">
        <v>39</v>
      </c>
      <c r="C465" t="s">
        <v>59</v>
      </c>
      <c r="E465">
        <v>280204.15999999997</v>
      </c>
      <c r="G465" s="1">
        <v>45317</v>
      </c>
      <c r="H465" t="s">
        <v>11</v>
      </c>
      <c r="I465" t="s">
        <v>925</v>
      </c>
    </row>
    <row r="466" spans="1:9" x14ac:dyDescent="0.3">
      <c r="A466" t="s">
        <v>926</v>
      </c>
      <c r="B466" t="s">
        <v>97</v>
      </c>
      <c r="C466" t="s">
        <v>172</v>
      </c>
      <c r="D466">
        <v>36</v>
      </c>
      <c r="E466">
        <v>273869.06</v>
      </c>
      <c r="F466">
        <v>9859286.1600000001</v>
      </c>
      <c r="G466" s="1">
        <v>45698</v>
      </c>
      <c r="H466" t="s">
        <v>51</v>
      </c>
      <c r="I466" t="s">
        <v>927</v>
      </c>
    </row>
    <row r="467" spans="1:9" x14ac:dyDescent="0.3">
      <c r="A467" t="s">
        <v>928</v>
      </c>
      <c r="B467" t="s">
        <v>66</v>
      </c>
      <c r="C467" t="s">
        <v>25</v>
      </c>
      <c r="E467">
        <v>197955.66</v>
      </c>
      <c r="G467" s="1">
        <v>45490</v>
      </c>
      <c r="H467" t="s">
        <v>30</v>
      </c>
      <c r="I467" t="s">
        <v>929</v>
      </c>
    </row>
    <row r="468" spans="1:9" x14ac:dyDescent="0.3">
      <c r="A468" t="s">
        <v>930</v>
      </c>
      <c r="B468" t="s">
        <v>97</v>
      </c>
      <c r="C468" t="s">
        <v>98</v>
      </c>
      <c r="E468">
        <v>5211.66</v>
      </c>
      <c r="G468" s="1">
        <v>45284</v>
      </c>
      <c r="H468" t="s">
        <v>11</v>
      </c>
      <c r="I468" t="s">
        <v>931</v>
      </c>
    </row>
    <row r="469" spans="1:9" x14ac:dyDescent="0.3">
      <c r="A469" t="s">
        <v>932</v>
      </c>
      <c r="B469" t="s">
        <v>33</v>
      </c>
      <c r="C469" t="s">
        <v>76</v>
      </c>
      <c r="E469">
        <v>159897.64000000001</v>
      </c>
      <c r="G469" s="1">
        <v>45274</v>
      </c>
      <c r="H469" t="s">
        <v>51</v>
      </c>
      <c r="I469" t="s">
        <v>933</v>
      </c>
    </row>
    <row r="470" spans="1:9" x14ac:dyDescent="0.3">
      <c r="B470" t="s">
        <v>328</v>
      </c>
      <c r="C470" t="s">
        <v>25</v>
      </c>
      <c r="D470">
        <v>83</v>
      </c>
      <c r="E470">
        <v>123695.88</v>
      </c>
      <c r="F470">
        <v>10266758.039999999</v>
      </c>
      <c r="G470" s="1">
        <v>45761</v>
      </c>
      <c r="I470" t="s">
        <v>934</v>
      </c>
    </row>
    <row r="471" spans="1:9" x14ac:dyDescent="0.3">
      <c r="A471" t="s">
        <v>935</v>
      </c>
      <c r="B471" t="s">
        <v>62</v>
      </c>
      <c r="C471" t="s">
        <v>98</v>
      </c>
      <c r="E471">
        <v>5509.48</v>
      </c>
      <c r="G471" s="1">
        <v>45536</v>
      </c>
      <c r="H471" t="s">
        <v>51</v>
      </c>
      <c r="I471" t="s">
        <v>936</v>
      </c>
    </row>
    <row r="472" spans="1:9" x14ac:dyDescent="0.3">
      <c r="A472" t="s">
        <v>937</v>
      </c>
      <c r="B472" t="s">
        <v>143</v>
      </c>
      <c r="C472" t="s">
        <v>98</v>
      </c>
      <c r="D472">
        <v>20</v>
      </c>
      <c r="G472" s="1">
        <v>45328</v>
      </c>
      <c r="I472" t="s">
        <v>938</v>
      </c>
    </row>
    <row r="473" spans="1:9" x14ac:dyDescent="0.3">
      <c r="A473" t="s">
        <v>939</v>
      </c>
      <c r="B473" t="s">
        <v>46</v>
      </c>
      <c r="C473" t="s">
        <v>19</v>
      </c>
      <c r="E473">
        <v>216796.72</v>
      </c>
      <c r="G473" s="1">
        <v>45842</v>
      </c>
      <c r="H473" t="s">
        <v>30</v>
      </c>
      <c r="I473" t="s">
        <v>940</v>
      </c>
    </row>
    <row r="474" spans="1:9" x14ac:dyDescent="0.3">
      <c r="A474" t="s">
        <v>941</v>
      </c>
      <c r="B474" t="s">
        <v>97</v>
      </c>
      <c r="C474" t="s">
        <v>172</v>
      </c>
      <c r="E474">
        <v>160953.56</v>
      </c>
      <c r="G474" s="1">
        <v>45554</v>
      </c>
      <c r="H474" t="s">
        <v>11</v>
      </c>
      <c r="I474" t="s">
        <v>942</v>
      </c>
    </row>
    <row r="475" spans="1:9" x14ac:dyDescent="0.3">
      <c r="A475" t="s">
        <v>943</v>
      </c>
      <c r="B475" t="s">
        <v>115</v>
      </c>
      <c r="C475" t="s">
        <v>29</v>
      </c>
      <c r="E475">
        <v>86363.22</v>
      </c>
      <c r="G475" s="1">
        <v>45658</v>
      </c>
      <c r="H475" t="s">
        <v>11</v>
      </c>
      <c r="I475" t="s">
        <v>944</v>
      </c>
    </row>
    <row r="476" spans="1:9" x14ac:dyDescent="0.3">
      <c r="A476" t="s">
        <v>945</v>
      </c>
      <c r="B476" t="s">
        <v>143</v>
      </c>
      <c r="C476" t="s">
        <v>59</v>
      </c>
      <c r="D476">
        <v>6</v>
      </c>
      <c r="E476">
        <v>150913.70000000001</v>
      </c>
      <c r="F476">
        <v>905482.2</v>
      </c>
      <c r="G476" s="1">
        <v>45328</v>
      </c>
      <c r="H476" t="s">
        <v>15</v>
      </c>
      <c r="I476" t="s">
        <v>946</v>
      </c>
    </row>
    <row r="477" spans="1:9" x14ac:dyDescent="0.3">
      <c r="A477" t="s">
        <v>947</v>
      </c>
      <c r="B477" t="s">
        <v>36</v>
      </c>
      <c r="C477" t="s">
        <v>29</v>
      </c>
      <c r="D477">
        <v>11</v>
      </c>
      <c r="E477">
        <v>209508.79</v>
      </c>
      <c r="F477">
        <v>2304596.69</v>
      </c>
      <c r="G477" s="1">
        <v>45224</v>
      </c>
      <c r="H477" t="s">
        <v>11</v>
      </c>
      <c r="I477" t="s">
        <v>948</v>
      </c>
    </row>
    <row r="478" spans="1:9" x14ac:dyDescent="0.3">
      <c r="A478" t="s">
        <v>949</v>
      </c>
      <c r="B478" t="s">
        <v>28</v>
      </c>
      <c r="C478" t="s">
        <v>29</v>
      </c>
      <c r="E478">
        <v>129456.68</v>
      </c>
      <c r="G478" s="1">
        <v>45202</v>
      </c>
      <c r="H478" t="s">
        <v>30</v>
      </c>
    </row>
    <row r="479" spans="1:9" x14ac:dyDescent="0.3">
      <c r="A479" t="s">
        <v>950</v>
      </c>
      <c r="B479" t="s">
        <v>151</v>
      </c>
      <c r="C479" t="s">
        <v>25</v>
      </c>
      <c r="E479">
        <v>281943.71999999997</v>
      </c>
      <c r="G479" s="1">
        <v>45596</v>
      </c>
      <c r="H479" t="s">
        <v>51</v>
      </c>
      <c r="I479" t="s">
        <v>951</v>
      </c>
    </row>
    <row r="480" spans="1:9" x14ac:dyDescent="0.3">
      <c r="A480" t="s">
        <v>952</v>
      </c>
      <c r="B480" t="s">
        <v>46</v>
      </c>
      <c r="C480" t="s">
        <v>14</v>
      </c>
      <c r="E480">
        <v>54190.42</v>
      </c>
      <c r="G480" s="1">
        <v>45693</v>
      </c>
      <c r="H480" t="s">
        <v>30</v>
      </c>
      <c r="I480" s="2" t="s">
        <v>953</v>
      </c>
    </row>
    <row r="481" spans="1:9" x14ac:dyDescent="0.3">
      <c r="A481" t="s">
        <v>954</v>
      </c>
      <c r="B481" t="s">
        <v>115</v>
      </c>
      <c r="C481" t="s">
        <v>50</v>
      </c>
      <c r="E481">
        <v>275455.63</v>
      </c>
      <c r="G481" s="1">
        <v>45573</v>
      </c>
      <c r="H481" t="s">
        <v>11</v>
      </c>
      <c r="I481" t="s">
        <v>955</v>
      </c>
    </row>
    <row r="482" spans="1:9" x14ac:dyDescent="0.3">
      <c r="A482" t="s">
        <v>956</v>
      </c>
      <c r="B482" t="s">
        <v>93</v>
      </c>
      <c r="C482" t="s">
        <v>138</v>
      </c>
      <c r="D482">
        <v>82</v>
      </c>
      <c r="G482" s="1">
        <v>45303</v>
      </c>
      <c r="H482" t="s">
        <v>51</v>
      </c>
      <c r="I482" t="s">
        <v>957</v>
      </c>
    </row>
    <row r="483" spans="1:9" x14ac:dyDescent="0.3">
      <c r="B483" t="s">
        <v>66</v>
      </c>
      <c r="C483" t="s">
        <v>25</v>
      </c>
      <c r="E483">
        <v>157553.43</v>
      </c>
      <c r="G483" s="1">
        <v>45306</v>
      </c>
      <c r="H483" t="s">
        <v>30</v>
      </c>
      <c r="I483" t="s">
        <v>958</v>
      </c>
    </row>
    <row r="484" spans="1:9" x14ac:dyDescent="0.3">
      <c r="A484" t="s">
        <v>959</v>
      </c>
      <c r="B484" t="s">
        <v>87</v>
      </c>
      <c r="C484" t="s">
        <v>19</v>
      </c>
      <c r="E484">
        <v>72670.17</v>
      </c>
      <c r="G484" s="1">
        <v>45157</v>
      </c>
      <c r="H484" t="s">
        <v>11</v>
      </c>
      <c r="I484" t="s">
        <v>960</v>
      </c>
    </row>
    <row r="485" spans="1:9" x14ac:dyDescent="0.3">
      <c r="A485" t="s">
        <v>961</v>
      </c>
      <c r="B485" t="s">
        <v>143</v>
      </c>
      <c r="C485" t="s">
        <v>98</v>
      </c>
      <c r="E485">
        <v>186124.36</v>
      </c>
      <c r="G485" s="1">
        <v>45638</v>
      </c>
      <c r="H485" t="s">
        <v>11</v>
      </c>
      <c r="I485" t="s">
        <v>962</v>
      </c>
    </row>
    <row r="486" spans="1:9" x14ac:dyDescent="0.3">
      <c r="A486" t="s">
        <v>963</v>
      </c>
      <c r="B486" t="s">
        <v>115</v>
      </c>
      <c r="C486" t="s">
        <v>59</v>
      </c>
      <c r="D486">
        <v>62</v>
      </c>
      <c r="E486">
        <v>76099.25</v>
      </c>
      <c r="F486">
        <v>4718153.5</v>
      </c>
      <c r="G486" s="1">
        <v>45821</v>
      </c>
      <c r="H486" t="s">
        <v>11</v>
      </c>
      <c r="I486" t="s">
        <v>964</v>
      </c>
    </row>
    <row r="487" spans="1:9" x14ac:dyDescent="0.3">
      <c r="A487" t="s">
        <v>965</v>
      </c>
      <c r="B487" t="s">
        <v>36</v>
      </c>
      <c r="C487" t="s">
        <v>14</v>
      </c>
      <c r="E487">
        <v>106655.11</v>
      </c>
      <c r="G487" s="1">
        <v>45530</v>
      </c>
      <c r="H487" t="s">
        <v>15</v>
      </c>
      <c r="I487" t="s">
        <v>966</v>
      </c>
    </row>
    <row r="488" spans="1:9" x14ac:dyDescent="0.3">
      <c r="A488" t="s">
        <v>967</v>
      </c>
      <c r="B488" t="s">
        <v>69</v>
      </c>
      <c r="C488" t="s">
        <v>50</v>
      </c>
      <c r="E488">
        <v>238583.43</v>
      </c>
      <c r="G488" s="1">
        <v>45293</v>
      </c>
      <c r="H488" t="s">
        <v>15</v>
      </c>
      <c r="I488" t="s">
        <v>968</v>
      </c>
    </row>
    <row r="489" spans="1:9" x14ac:dyDescent="0.3">
      <c r="A489" t="s">
        <v>969</v>
      </c>
      <c r="B489" t="s">
        <v>143</v>
      </c>
      <c r="C489" t="s">
        <v>25</v>
      </c>
      <c r="E489">
        <v>24166.26</v>
      </c>
      <c r="G489" s="1">
        <v>45613</v>
      </c>
      <c r="H489" t="s">
        <v>15</v>
      </c>
      <c r="I489" s="2" t="s">
        <v>970</v>
      </c>
    </row>
    <row r="490" spans="1:9" x14ac:dyDescent="0.3">
      <c r="A490" t="s">
        <v>971</v>
      </c>
      <c r="B490" t="s">
        <v>143</v>
      </c>
      <c r="C490" t="s">
        <v>63</v>
      </c>
      <c r="D490">
        <v>8</v>
      </c>
      <c r="E490">
        <v>287809.69</v>
      </c>
      <c r="F490">
        <v>2302477.52</v>
      </c>
      <c r="G490" s="1">
        <v>45298</v>
      </c>
      <c r="H490" t="s">
        <v>51</v>
      </c>
      <c r="I490" t="s">
        <v>972</v>
      </c>
    </row>
    <row r="491" spans="1:9" x14ac:dyDescent="0.3">
      <c r="A491" t="s">
        <v>973</v>
      </c>
      <c r="B491" t="s">
        <v>57</v>
      </c>
      <c r="C491" t="s">
        <v>76</v>
      </c>
      <c r="E491">
        <v>137969.82</v>
      </c>
      <c r="G491" s="1">
        <v>45158</v>
      </c>
      <c r="H491" t="s">
        <v>30</v>
      </c>
      <c r="I491" t="s">
        <v>974</v>
      </c>
    </row>
    <row r="492" spans="1:9" x14ac:dyDescent="0.3">
      <c r="A492" t="s">
        <v>975</v>
      </c>
      <c r="B492" t="s">
        <v>46</v>
      </c>
      <c r="C492" t="s">
        <v>14</v>
      </c>
      <c r="G492" s="1">
        <v>45195</v>
      </c>
      <c r="H492" t="s">
        <v>51</v>
      </c>
    </row>
    <row r="493" spans="1:9" x14ac:dyDescent="0.3">
      <c r="A493" t="s">
        <v>976</v>
      </c>
      <c r="B493" t="s">
        <v>87</v>
      </c>
      <c r="C493" t="s">
        <v>29</v>
      </c>
      <c r="E493">
        <v>73340.759999999995</v>
      </c>
      <c r="G493" s="1">
        <v>45439</v>
      </c>
      <c r="H493" t="s">
        <v>51</v>
      </c>
      <c r="I493" t="s">
        <v>977</v>
      </c>
    </row>
    <row r="494" spans="1:9" x14ac:dyDescent="0.3">
      <c r="A494" t="s">
        <v>978</v>
      </c>
      <c r="B494" t="s">
        <v>66</v>
      </c>
      <c r="C494" t="s">
        <v>14</v>
      </c>
      <c r="D494">
        <v>78</v>
      </c>
      <c r="E494">
        <v>209322.28</v>
      </c>
      <c r="F494">
        <v>16327137.84</v>
      </c>
      <c r="G494" s="1">
        <v>45374</v>
      </c>
      <c r="H494" t="s">
        <v>11</v>
      </c>
      <c r="I494" t="s">
        <v>979</v>
      </c>
    </row>
    <row r="495" spans="1:9" x14ac:dyDescent="0.3">
      <c r="A495" t="s">
        <v>980</v>
      </c>
      <c r="B495" t="s">
        <v>97</v>
      </c>
      <c r="C495" t="s">
        <v>59</v>
      </c>
      <c r="E495">
        <v>90342.399999999994</v>
      </c>
      <c r="G495" s="1">
        <v>45675</v>
      </c>
      <c r="I495" t="s">
        <v>981</v>
      </c>
    </row>
    <row r="496" spans="1:9" x14ac:dyDescent="0.3">
      <c r="B496" t="s">
        <v>83</v>
      </c>
      <c r="C496" t="s">
        <v>25</v>
      </c>
      <c r="E496">
        <v>248504.59</v>
      </c>
      <c r="G496" s="1">
        <v>45484</v>
      </c>
      <c r="I496" t="s">
        <v>982</v>
      </c>
    </row>
    <row r="497" spans="1:9" x14ac:dyDescent="0.3">
      <c r="A497" t="s">
        <v>983</v>
      </c>
      <c r="B497" t="s">
        <v>516</v>
      </c>
      <c r="C497" t="s">
        <v>14</v>
      </c>
      <c r="E497">
        <v>24644.77</v>
      </c>
      <c r="G497" s="1">
        <v>45196</v>
      </c>
      <c r="H497" t="s">
        <v>11</v>
      </c>
      <c r="I497" t="s">
        <v>984</v>
      </c>
    </row>
    <row r="498" spans="1:9" x14ac:dyDescent="0.3">
      <c r="A498" t="s">
        <v>985</v>
      </c>
      <c r="B498" t="s">
        <v>83</v>
      </c>
      <c r="C498" t="s">
        <v>172</v>
      </c>
      <c r="E498">
        <v>297506.57</v>
      </c>
      <c r="G498" s="1">
        <v>45647</v>
      </c>
      <c r="I498" t="s">
        <v>986</v>
      </c>
    </row>
    <row r="499" spans="1:9" x14ac:dyDescent="0.3">
      <c r="A499" t="s">
        <v>987</v>
      </c>
      <c r="B499" t="s">
        <v>57</v>
      </c>
      <c r="C499" t="s">
        <v>19</v>
      </c>
      <c r="E499">
        <v>195143.39</v>
      </c>
      <c r="G499" s="1">
        <v>45716</v>
      </c>
      <c r="H499" t="s">
        <v>51</v>
      </c>
      <c r="I499" t="s">
        <v>988</v>
      </c>
    </row>
    <row r="500" spans="1:9" x14ac:dyDescent="0.3">
      <c r="A500" t="s">
        <v>989</v>
      </c>
      <c r="B500" t="s">
        <v>62</v>
      </c>
      <c r="C500" t="s">
        <v>25</v>
      </c>
      <c r="E500">
        <v>9989.51</v>
      </c>
      <c r="G500" s="1">
        <v>45224</v>
      </c>
      <c r="H500" t="s">
        <v>30</v>
      </c>
      <c r="I500" t="s">
        <v>990</v>
      </c>
    </row>
    <row r="501" spans="1:9" x14ac:dyDescent="0.3">
      <c r="A501" t="s">
        <v>991</v>
      </c>
      <c r="B501" t="s">
        <v>230</v>
      </c>
      <c r="C501" t="s">
        <v>59</v>
      </c>
      <c r="E501">
        <v>121880.85</v>
      </c>
      <c r="G501" s="1">
        <v>45122</v>
      </c>
      <c r="H501" t="s">
        <v>15</v>
      </c>
      <c r="I501" t="s">
        <v>992</v>
      </c>
    </row>
    <row r="502" spans="1:9" x14ac:dyDescent="0.3">
      <c r="A502" t="s">
        <v>993</v>
      </c>
      <c r="B502" t="s">
        <v>93</v>
      </c>
      <c r="C502" t="s">
        <v>50</v>
      </c>
      <c r="G502" s="1">
        <v>45545</v>
      </c>
      <c r="H502" t="s">
        <v>51</v>
      </c>
      <c r="I502" t="s">
        <v>994</v>
      </c>
    </row>
    <row r="503" spans="1:9" x14ac:dyDescent="0.3">
      <c r="A503" t="s">
        <v>995</v>
      </c>
      <c r="B503" t="s">
        <v>39</v>
      </c>
      <c r="C503" t="s">
        <v>19</v>
      </c>
      <c r="D503">
        <v>58</v>
      </c>
      <c r="E503">
        <v>113462.29</v>
      </c>
      <c r="F503">
        <v>6580812.8200000003</v>
      </c>
      <c r="G503" s="1">
        <v>45839</v>
      </c>
      <c r="H503" t="s">
        <v>51</v>
      </c>
      <c r="I503" t="s">
        <v>996</v>
      </c>
    </row>
    <row r="504" spans="1:9" x14ac:dyDescent="0.3">
      <c r="A504" t="s">
        <v>997</v>
      </c>
      <c r="B504" t="s">
        <v>143</v>
      </c>
      <c r="C504" t="s">
        <v>50</v>
      </c>
      <c r="D504">
        <v>19</v>
      </c>
      <c r="E504">
        <v>143063.53</v>
      </c>
      <c r="F504">
        <v>2718207.07</v>
      </c>
      <c r="G504" s="1">
        <v>45240</v>
      </c>
      <c r="H504" t="s">
        <v>30</v>
      </c>
      <c r="I504" t="s">
        <v>998</v>
      </c>
    </row>
    <row r="505" spans="1:9" x14ac:dyDescent="0.3">
      <c r="A505" t="s">
        <v>999</v>
      </c>
      <c r="B505" t="s">
        <v>62</v>
      </c>
      <c r="C505" t="s">
        <v>14</v>
      </c>
      <c r="E505">
        <v>191206.05</v>
      </c>
      <c r="G505" s="1">
        <v>45434</v>
      </c>
      <c r="I505" t="s">
        <v>1000</v>
      </c>
    </row>
    <row r="506" spans="1:9" x14ac:dyDescent="0.3">
      <c r="A506" t="s">
        <v>1001</v>
      </c>
      <c r="B506" t="s">
        <v>187</v>
      </c>
      <c r="C506" t="s">
        <v>40</v>
      </c>
      <c r="E506">
        <v>211002.12</v>
      </c>
      <c r="G506" s="1">
        <v>45625</v>
      </c>
      <c r="H506" t="s">
        <v>30</v>
      </c>
    </row>
    <row r="507" spans="1:9" x14ac:dyDescent="0.3">
      <c r="A507" t="s">
        <v>1002</v>
      </c>
      <c r="B507" t="s">
        <v>97</v>
      </c>
      <c r="C507" t="s">
        <v>76</v>
      </c>
      <c r="D507">
        <v>54</v>
      </c>
      <c r="E507">
        <v>25264.49</v>
      </c>
      <c r="F507">
        <v>1364282.46</v>
      </c>
      <c r="G507" s="1">
        <v>45844</v>
      </c>
      <c r="H507" t="s">
        <v>51</v>
      </c>
      <c r="I507" t="s">
        <v>1003</v>
      </c>
    </row>
    <row r="508" spans="1:9" x14ac:dyDescent="0.3">
      <c r="A508" t="s">
        <v>1004</v>
      </c>
      <c r="B508" t="s">
        <v>39</v>
      </c>
      <c r="C508" t="s">
        <v>59</v>
      </c>
      <c r="E508">
        <v>253676.27</v>
      </c>
      <c r="G508" s="1">
        <v>45802</v>
      </c>
      <c r="H508" t="s">
        <v>11</v>
      </c>
      <c r="I508" t="s">
        <v>1005</v>
      </c>
    </row>
    <row r="509" spans="1:9" x14ac:dyDescent="0.3">
      <c r="B509" t="s">
        <v>22</v>
      </c>
      <c r="C509" t="s">
        <v>50</v>
      </c>
      <c r="E509">
        <v>193649.72</v>
      </c>
      <c r="G509" s="1">
        <v>45800</v>
      </c>
      <c r="H509" t="s">
        <v>11</v>
      </c>
      <c r="I509" t="s">
        <v>1006</v>
      </c>
    </row>
    <row r="510" spans="1:9" x14ac:dyDescent="0.3">
      <c r="A510" t="s">
        <v>1007</v>
      </c>
      <c r="B510" t="s">
        <v>143</v>
      </c>
      <c r="C510" t="s">
        <v>76</v>
      </c>
      <c r="D510">
        <v>41</v>
      </c>
      <c r="E510">
        <v>99715.55</v>
      </c>
      <c r="F510">
        <v>4088337.55</v>
      </c>
      <c r="G510" s="1">
        <v>45487</v>
      </c>
      <c r="H510" t="s">
        <v>51</v>
      </c>
      <c r="I510" t="s">
        <v>1008</v>
      </c>
    </row>
    <row r="511" spans="1:9" x14ac:dyDescent="0.3">
      <c r="A511" t="s">
        <v>1009</v>
      </c>
      <c r="B511" t="s">
        <v>22</v>
      </c>
      <c r="C511" t="s">
        <v>98</v>
      </c>
      <c r="D511">
        <v>98</v>
      </c>
      <c r="E511">
        <v>293210.09999999998</v>
      </c>
      <c r="F511">
        <v>28734589.800000001</v>
      </c>
      <c r="G511" s="1">
        <v>45488</v>
      </c>
      <c r="H511" t="s">
        <v>11</v>
      </c>
      <c r="I511" t="s">
        <v>1010</v>
      </c>
    </row>
    <row r="512" spans="1:9" x14ac:dyDescent="0.3">
      <c r="A512" t="s">
        <v>1011</v>
      </c>
      <c r="B512" t="s">
        <v>57</v>
      </c>
      <c r="C512" t="s">
        <v>25</v>
      </c>
      <c r="G512" s="1">
        <v>45623</v>
      </c>
      <c r="I512" t="s">
        <v>1012</v>
      </c>
    </row>
    <row r="513" spans="1:9" x14ac:dyDescent="0.3">
      <c r="A513" t="s">
        <v>1013</v>
      </c>
      <c r="B513" t="s">
        <v>28</v>
      </c>
      <c r="C513" t="s">
        <v>50</v>
      </c>
      <c r="E513">
        <v>292165</v>
      </c>
      <c r="G513" s="1">
        <v>45272</v>
      </c>
      <c r="H513" t="s">
        <v>30</v>
      </c>
      <c r="I513" t="s">
        <v>1014</v>
      </c>
    </row>
    <row r="514" spans="1:9" x14ac:dyDescent="0.3">
      <c r="A514" t="s">
        <v>1015</v>
      </c>
      <c r="B514" t="s">
        <v>13</v>
      </c>
      <c r="C514" t="s">
        <v>10</v>
      </c>
      <c r="E514">
        <v>268489.96999999997</v>
      </c>
      <c r="G514" s="1">
        <v>45705</v>
      </c>
      <c r="H514" t="s">
        <v>15</v>
      </c>
      <c r="I514" t="s">
        <v>1016</v>
      </c>
    </row>
    <row r="515" spans="1:9" x14ac:dyDescent="0.3">
      <c r="A515" t="s">
        <v>1017</v>
      </c>
      <c r="B515" t="s">
        <v>363</v>
      </c>
      <c r="C515" t="s">
        <v>59</v>
      </c>
      <c r="D515">
        <v>3</v>
      </c>
      <c r="E515">
        <v>275786.09000000003</v>
      </c>
      <c r="F515">
        <v>827358.27</v>
      </c>
      <c r="G515" s="1">
        <v>45341</v>
      </c>
      <c r="H515" t="s">
        <v>30</v>
      </c>
      <c r="I515" t="s">
        <v>1018</v>
      </c>
    </row>
    <row r="516" spans="1:9" x14ac:dyDescent="0.3">
      <c r="A516" t="s">
        <v>1019</v>
      </c>
      <c r="B516" t="s">
        <v>22</v>
      </c>
      <c r="C516" t="s">
        <v>25</v>
      </c>
      <c r="E516">
        <v>69315.070000000007</v>
      </c>
      <c r="G516" s="1">
        <v>45367</v>
      </c>
      <c r="H516" t="s">
        <v>15</v>
      </c>
      <c r="I516" t="s">
        <v>1020</v>
      </c>
    </row>
    <row r="517" spans="1:9" x14ac:dyDescent="0.3">
      <c r="A517" t="s">
        <v>1021</v>
      </c>
      <c r="B517" t="s">
        <v>230</v>
      </c>
      <c r="C517" t="s">
        <v>76</v>
      </c>
      <c r="D517">
        <v>59</v>
      </c>
      <c r="E517">
        <v>270431.25</v>
      </c>
      <c r="F517">
        <v>15955443.75</v>
      </c>
      <c r="G517" s="1">
        <v>45339</v>
      </c>
      <c r="H517" t="s">
        <v>51</v>
      </c>
      <c r="I517" t="s">
        <v>1022</v>
      </c>
    </row>
    <row r="518" spans="1:9" x14ac:dyDescent="0.3">
      <c r="A518" t="s">
        <v>1023</v>
      </c>
      <c r="B518" t="s">
        <v>66</v>
      </c>
      <c r="C518" t="s">
        <v>59</v>
      </c>
      <c r="E518">
        <v>207840.17</v>
      </c>
      <c r="G518" s="1">
        <v>45619</v>
      </c>
      <c r="H518" t="s">
        <v>51</v>
      </c>
      <c r="I518" t="s">
        <v>1024</v>
      </c>
    </row>
    <row r="519" spans="1:9" x14ac:dyDescent="0.3">
      <c r="A519" t="s">
        <v>1025</v>
      </c>
      <c r="B519" t="s">
        <v>39</v>
      </c>
      <c r="C519" t="s">
        <v>50</v>
      </c>
      <c r="D519">
        <v>46</v>
      </c>
      <c r="E519">
        <v>170251.85</v>
      </c>
      <c r="F519">
        <v>7831585.0999999996</v>
      </c>
      <c r="G519" s="1">
        <v>45163</v>
      </c>
      <c r="H519" t="s">
        <v>15</v>
      </c>
      <c r="I519" t="s">
        <v>1026</v>
      </c>
    </row>
    <row r="520" spans="1:9" x14ac:dyDescent="0.3">
      <c r="A520" t="s">
        <v>1027</v>
      </c>
      <c r="B520" t="s">
        <v>83</v>
      </c>
      <c r="C520" t="s">
        <v>29</v>
      </c>
      <c r="E520">
        <v>81692.97</v>
      </c>
      <c r="G520" s="1">
        <v>45823</v>
      </c>
      <c r="H520" t="s">
        <v>11</v>
      </c>
    </row>
    <row r="521" spans="1:9" x14ac:dyDescent="0.3">
      <c r="A521" t="s">
        <v>1028</v>
      </c>
      <c r="B521" t="s">
        <v>46</v>
      </c>
      <c r="C521" t="s">
        <v>19</v>
      </c>
      <c r="E521">
        <v>277285.7</v>
      </c>
      <c r="G521" s="1">
        <v>45715</v>
      </c>
      <c r="H521" t="s">
        <v>51</v>
      </c>
      <c r="I521" t="s">
        <v>1029</v>
      </c>
    </row>
    <row r="522" spans="1:9" x14ac:dyDescent="0.3">
      <c r="B522" t="s">
        <v>87</v>
      </c>
      <c r="C522" t="s">
        <v>138</v>
      </c>
      <c r="G522" s="1">
        <v>45187</v>
      </c>
      <c r="I522" t="s">
        <v>1030</v>
      </c>
    </row>
    <row r="523" spans="1:9" x14ac:dyDescent="0.3">
      <c r="A523" t="s">
        <v>1031</v>
      </c>
      <c r="B523" t="s">
        <v>57</v>
      </c>
      <c r="C523" t="s">
        <v>59</v>
      </c>
      <c r="E523">
        <v>205486.41</v>
      </c>
      <c r="G523" s="1">
        <v>45624</v>
      </c>
      <c r="I523" t="s">
        <v>1032</v>
      </c>
    </row>
    <row r="524" spans="1:9" x14ac:dyDescent="0.3">
      <c r="A524" t="s">
        <v>1033</v>
      </c>
      <c r="B524" t="s">
        <v>867</v>
      </c>
      <c r="C524" t="s">
        <v>29</v>
      </c>
      <c r="D524">
        <v>69</v>
      </c>
      <c r="E524">
        <v>84471.72</v>
      </c>
      <c r="F524">
        <v>5828548.6799999997</v>
      </c>
      <c r="G524" s="1">
        <v>45563</v>
      </c>
      <c r="I524" t="s">
        <v>1034</v>
      </c>
    </row>
    <row r="525" spans="1:9" x14ac:dyDescent="0.3">
      <c r="A525" t="s">
        <v>1035</v>
      </c>
      <c r="B525" t="s">
        <v>230</v>
      </c>
      <c r="C525" t="s">
        <v>50</v>
      </c>
      <c r="E525">
        <v>163137.69</v>
      </c>
      <c r="G525" s="1">
        <v>45298</v>
      </c>
      <c r="I525" t="s">
        <v>1036</v>
      </c>
    </row>
    <row r="526" spans="1:9" x14ac:dyDescent="0.3">
      <c r="A526" t="s">
        <v>1037</v>
      </c>
      <c r="B526" t="s">
        <v>115</v>
      </c>
      <c r="C526" t="s">
        <v>19</v>
      </c>
      <c r="E526">
        <v>197603.72</v>
      </c>
      <c r="G526" s="1">
        <v>45533</v>
      </c>
      <c r="H526" t="s">
        <v>15</v>
      </c>
      <c r="I526" t="s">
        <v>1038</v>
      </c>
    </row>
    <row r="527" spans="1:9" x14ac:dyDescent="0.3">
      <c r="A527" t="s">
        <v>1039</v>
      </c>
      <c r="B527" t="s">
        <v>22</v>
      </c>
      <c r="C527" t="s">
        <v>25</v>
      </c>
      <c r="E527">
        <v>54216.67</v>
      </c>
      <c r="G527" s="1">
        <v>45691</v>
      </c>
      <c r="H527" t="s">
        <v>11</v>
      </c>
      <c r="I527" t="s">
        <v>1040</v>
      </c>
    </row>
    <row r="528" spans="1:9" x14ac:dyDescent="0.3">
      <c r="A528" t="s">
        <v>1041</v>
      </c>
      <c r="B528" t="s">
        <v>28</v>
      </c>
      <c r="C528" t="s">
        <v>76</v>
      </c>
      <c r="E528">
        <v>255203.07</v>
      </c>
      <c r="G528" s="1">
        <v>45679</v>
      </c>
      <c r="H528" t="s">
        <v>15</v>
      </c>
      <c r="I528" t="s">
        <v>1042</v>
      </c>
    </row>
    <row r="529" spans="1:9" x14ac:dyDescent="0.3">
      <c r="A529" t="s">
        <v>1043</v>
      </c>
      <c r="B529" t="s">
        <v>13</v>
      </c>
      <c r="C529" t="s">
        <v>50</v>
      </c>
      <c r="D529">
        <v>47</v>
      </c>
      <c r="E529">
        <v>5189.6000000000004</v>
      </c>
      <c r="F529">
        <v>243911.2</v>
      </c>
      <c r="G529" s="1">
        <v>45778</v>
      </c>
      <c r="H529" t="s">
        <v>51</v>
      </c>
      <c r="I529" t="s">
        <v>1044</v>
      </c>
    </row>
    <row r="530" spans="1:9" x14ac:dyDescent="0.3">
      <c r="A530" t="s">
        <v>1045</v>
      </c>
      <c r="B530" t="s">
        <v>33</v>
      </c>
      <c r="C530" t="s">
        <v>235</v>
      </c>
      <c r="D530">
        <v>52</v>
      </c>
      <c r="E530">
        <v>62543.86</v>
      </c>
      <c r="F530">
        <v>3252280.72</v>
      </c>
      <c r="G530" s="1">
        <v>45845</v>
      </c>
      <c r="I530" t="s">
        <v>1046</v>
      </c>
    </row>
    <row r="531" spans="1:9" x14ac:dyDescent="0.3">
      <c r="A531" t="s">
        <v>1047</v>
      </c>
      <c r="B531" t="s">
        <v>46</v>
      </c>
      <c r="C531" t="s">
        <v>98</v>
      </c>
      <c r="E531">
        <v>43685.37</v>
      </c>
      <c r="G531" s="1">
        <v>45146</v>
      </c>
      <c r="I531" t="s">
        <v>1048</v>
      </c>
    </row>
    <row r="532" spans="1:9" x14ac:dyDescent="0.3">
      <c r="A532" t="s">
        <v>1049</v>
      </c>
      <c r="B532" t="s">
        <v>22</v>
      </c>
      <c r="C532" t="s">
        <v>98</v>
      </c>
      <c r="G532" s="1">
        <v>45827</v>
      </c>
      <c r="I532" t="s">
        <v>1050</v>
      </c>
    </row>
    <row r="533" spans="1:9" x14ac:dyDescent="0.3">
      <c r="A533" t="s">
        <v>1051</v>
      </c>
      <c r="B533" t="s">
        <v>276</v>
      </c>
      <c r="C533" t="s">
        <v>25</v>
      </c>
      <c r="E533">
        <v>246296.88</v>
      </c>
      <c r="G533" s="1">
        <v>45833</v>
      </c>
      <c r="H533" t="s">
        <v>51</v>
      </c>
      <c r="I533" t="s">
        <v>1052</v>
      </c>
    </row>
    <row r="534" spans="1:9" x14ac:dyDescent="0.3">
      <c r="A534" t="s">
        <v>1053</v>
      </c>
      <c r="B534" t="s">
        <v>62</v>
      </c>
      <c r="C534" t="s">
        <v>19</v>
      </c>
      <c r="E534">
        <v>246360.27</v>
      </c>
      <c r="G534" s="1">
        <v>45253</v>
      </c>
      <c r="H534" t="s">
        <v>30</v>
      </c>
    </row>
    <row r="535" spans="1:9" x14ac:dyDescent="0.3">
      <c r="B535" t="s">
        <v>83</v>
      </c>
      <c r="C535" t="s">
        <v>50</v>
      </c>
      <c r="E535">
        <v>278698.03999999998</v>
      </c>
      <c r="G535" s="1">
        <v>45442</v>
      </c>
      <c r="H535" t="s">
        <v>15</v>
      </c>
      <c r="I535" t="s">
        <v>1054</v>
      </c>
    </row>
    <row r="536" spans="1:9" x14ac:dyDescent="0.3">
      <c r="A536" t="s">
        <v>1055</v>
      </c>
      <c r="B536" t="s">
        <v>49</v>
      </c>
      <c r="C536" t="s">
        <v>50</v>
      </c>
      <c r="E536">
        <v>90133.43</v>
      </c>
      <c r="G536" s="1">
        <v>45803</v>
      </c>
      <c r="H536" t="s">
        <v>11</v>
      </c>
      <c r="I536" t="s">
        <v>1056</v>
      </c>
    </row>
    <row r="537" spans="1:9" x14ac:dyDescent="0.3">
      <c r="A537" t="s">
        <v>1057</v>
      </c>
      <c r="B537" t="s">
        <v>36</v>
      </c>
      <c r="C537" t="s">
        <v>29</v>
      </c>
      <c r="E537">
        <v>169405.48</v>
      </c>
      <c r="G537" s="1">
        <v>45768</v>
      </c>
      <c r="H537" t="s">
        <v>51</v>
      </c>
      <c r="I537" t="s">
        <v>1058</v>
      </c>
    </row>
    <row r="538" spans="1:9" x14ac:dyDescent="0.3">
      <c r="A538" t="s">
        <v>1059</v>
      </c>
      <c r="B538" t="s">
        <v>22</v>
      </c>
      <c r="C538" t="s">
        <v>235</v>
      </c>
      <c r="E538">
        <v>170225.43</v>
      </c>
      <c r="G538" s="1">
        <v>45254</v>
      </c>
      <c r="H538" t="s">
        <v>30</v>
      </c>
      <c r="I538" t="s">
        <v>1060</v>
      </c>
    </row>
    <row r="539" spans="1:9" x14ac:dyDescent="0.3">
      <c r="A539" t="s">
        <v>1061</v>
      </c>
      <c r="B539" t="s">
        <v>33</v>
      </c>
      <c r="C539" t="s">
        <v>76</v>
      </c>
      <c r="D539">
        <v>16</v>
      </c>
      <c r="E539">
        <v>254908.01</v>
      </c>
      <c r="F539">
        <v>4078528.16</v>
      </c>
      <c r="G539" s="1">
        <v>45843</v>
      </c>
      <c r="H539" t="s">
        <v>30</v>
      </c>
      <c r="I539" t="s">
        <v>1062</v>
      </c>
    </row>
    <row r="540" spans="1:9" x14ac:dyDescent="0.3">
      <c r="A540" t="s">
        <v>1063</v>
      </c>
      <c r="B540" t="s">
        <v>83</v>
      </c>
      <c r="C540" t="s">
        <v>19</v>
      </c>
      <c r="E540">
        <v>203271.97</v>
      </c>
      <c r="G540" s="1">
        <v>45832</v>
      </c>
      <c r="H540" t="s">
        <v>11</v>
      </c>
      <c r="I540" t="s">
        <v>1064</v>
      </c>
    </row>
    <row r="541" spans="1:9" x14ac:dyDescent="0.3">
      <c r="A541" t="s">
        <v>1065</v>
      </c>
      <c r="B541" t="s">
        <v>28</v>
      </c>
      <c r="C541" t="s">
        <v>59</v>
      </c>
      <c r="E541">
        <v>162398.45000000001</v>
      </c>
      <c r="G541" s="1">
        <v>45146</v>
      </c>
      <c r="H541" t="s">
        <v>51</v>
      </c>
      <c r="I541" t="s">
        <v>1066</v>
      </c>
    </row>
    <row r="542" spans="1:9" x14ac:dyDescent="0.3">
      <c r="A542" t="s">
        <v>1067</v>
      </c>
      <c r="B542" t="s">
        <v>516</v>
      </c>
      <c r="C542" t="s">
        <v>76</v>
      </c>
      <c r="G542" s="1">
        <v>45767</v>
      </c>
      <c r="H542" t="s">
        <v>30</v>
      </c>
      <c r="I542" t="s">
        <v>1068</v>
      </c>
    </row>
    <row r="543" spans="1:9" x14ac:dyDescent="0.3">
      <c r="A543" t="s">
        <v>1069</v>
      </c>
      <c r="B543" t="s">
        <v>62</v>
      </c>
      <c r="C543" t="s">
        <v>14</v>
      </c>
      <c r="D543">
        <v>97</v>
      </c>
      <c r="E543">
        <v>115461.94</v>
      </c>
      <c r="F543">
        <v>11199808.18</v>
      </c>
      <c r="G543" s="1">
        <v>45426</v>
      </c>
      <c r="I543" t="s">
        <v>1070</v>
      </c>
    </row>
    <row r="544" spans="1:9" x14ac:dyDescent="0.3">
      <c r="A544" t="s">
        <v>1071</v>
      </c>
      <c r="B544" t="s">
        <v>36</v>
      </c>
      <c r="C544" t="s">
        <v>76</v>
      </c>
      <c r="E544">
        <v>222053.68</v>
      </c>
      <c r="G544" s="1">
        <v>45730</v>
      </c>
      <c r="H544" t="s">
        <v>11</v>
      </c>
      <c r="I544" t="s">
        <v>1072</v>
      </c>
    </row>
    <row r="545" spans="1:9" x14ac:dyDescent="0.3">
      <c r="A545" t="s">
        <v>1073</v>
      </c>
      <c r="B545" t="s">
        <v>66</v>
      </c>
      <c r="C545" t="s">
        <v>50</v>
      </c>
      <c r="E545">
        <v>237254.18</v>
      </c>
      <c r="G545" s="1">
        <v>45502</v>
      </c>
      <c r="I545" t="s">
        <v>1074</v>
      </c>
    </row>
    <row r="546" spans="1:9" x14ac:dyDescent="0.3">
      <c r="A546" t="s">
        <v>1075</v>
      </c>
      <c r="B546" t="s">
        <v>97</v>
      </c>
      <c r="C546" t="s">
        <v>10</v>
      </c>
      <c r="D546">
        <v>65</v>
      </c>
      <c r="E546">
        <v>206948.51</v>
      </c>
      <c r="F546">
        <v>13451653.15</v>
      </c>
      <c r="G546" s="1">
        <v>45262</v>
      </c>
      <c r="H546" t="s">
        <v>11</v>
      </c>
      <c r="I546" t="s">
        <v>1076</v>
      </c>
    </row>
    <row r="547" spans="1:9" x14ac:dyDescent="0.3">
      <c r="A547" t="s">
        <v>1077</v>
      </c>
      <c r="B547" t="s">
        <v>83</v>
      </c>
      <c r="C547" t="s">
        <v>76</v>
      </c>
      <c r="D547">
        <v>6</v>
      </c>
      <c r="E547">
        <v>23989.09</v>
      </c>
      <c r="F547">
        <v>143934.54</v>
      </c>
      <c r="G547" s="1">
        <v>45845</v>
      </c>
      <c r="H547" t="s">
        <v>15</v>
      </c>
      <c r="I547" t="s">
        <v>1078</v>
      </c>
    </row>
    <row r="548" spans="1:9" x14ac:dyDescent="0.3">
      <c r="B548" t="s">
        <v>66</v>
      </c>
      <c r="C548" t="s">
        <v>25</v>
      </c>
      <c r="E548">
        <v>223764.24</v>
      </c>
      <c r="G548" s="1">
        <v>45699</v>
      </c>
      <c r="H548" t="s">
        <v>15</v>
      </c>
    </row>
    <row r="549" spans="1:9" x14ac:dyDescent="0.3">
      <c r="A549" t="s">
        <v>1079</v>
      </c>
      <c r="B549" t="s">
        <v>62</v>
      </c>
      <c r="C549" t="s">
        <v>98</v>
      </c>
      <c r="E549">
        <v>104084.92</v>
      </c>
      <c r="G549" s="1">
        <v>45795</v>
      </c>
      <c r="H549" t="s">
        <v>51</v>
      </c>
      <c r="I549" t="s">
        <v>1080</v>
      </c>
    </row>
    <row r="550" spans="1:9" x14ac:dyDescent="0.3">
      <c r="A550" t="s">
        <v>1081</v>
      </c>
      <c r="B550" t="s">
        <v>46</v>
      </c>
      <c r="C550" t="s">
        <v>59</v>
      </c>
      <c r="E550">
        <v>29756.89</v>
      </c>
      <c r="G550" s="1">
        <v>45837</v>
      </c>
      <c r="H550" t="s">
        <v>30</v>
      </c>
      <c r="I550" t="s">
        <v>1082</v>
      </c>
    </row>
    <row r="551" spans="1:9" x14ac:dyDescent="0.3">
      <c r="A551" t="s">
        <v>1083</v>
      </c>
      <c r="B551" t="s">
        <v>131</v>
      </c>
      <c r="C551" t="s">
        <v>29</v>
      </c>
      <c r="E551">
        <v>70027.13</v>
      </c>
      <c r="G551" s="1">
        <v>45342</v>
      </c>
      <c r="I551" t="s">
        <v>1084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1"/>
  <sheetViews>
    <sheetView workbookViewId="0">
      <selection activeCell="J4" sqref="J4"/>
    </sheetView>
  </sheetViews>
  <sheetFormatPr defaultRowHeight="14.4" x14ac:dyDescent="0.3"/>
  <cols>
    <col min="1" max="1" width="19.77734375" style="3" customWidth="1"/>
    <col min="2" max="2" width="10" style="3" customWidth="1"/>
    <col min="3" max="3" width="12.33203125" style="3" customWidth="1"/>
    <col min="4" max="4" width="11" style="3" customWidth="1"/>
    <col min="5" max="5" width="10.77734375" style="3" customWidth="1"/>
    <col min="6" max="6" width="10.88671875" style="3" customWidth="1"/>
    <col min="7" max="7" width="10.5546875" style="3" customWidth="1"/>
    <col min="8" max="8" width="14" style="3" customWidth="1"/>
    <col min="9" max="9" width="36.33203125" style="3" customWidth="1"/>
    <col min="10" max="16384" width="8.88671875" style="3"/>
  </cols>
  <sheetData>
    <row r="1" spans="1:9" x14ac:dyDescent="0.3">
      <c r="A1" s="8" t="s">
        <v>0</v>
      </c>
      <c r="B1" s="9" t="s">
        <v>1</v>
      </c>
      <c r="C1" s="9" t="s">
        <v>2</v>
      </c>
      <c r="D1" s="9" t="s">
        <v>3</v>
      </c>
      <c r="E1" s="9" t="s">
        <v>4</v>
      </c>
      <c r="F1" s="9" t="s">
        <v>5</v>
      </c>
      <c r="G1" s="9" t="s">
        <v>6</v>
      </c>
      <c r="H1" s="9" t="s">
        <v>7</v>
      </c>
      <c r="I1" s="10" t="s">
        <v>8</v>
      </c>
    </row>
    <row r="2" spans="1:9" x14ac:dyDescent="0.3">
      <c r="A2" s="5" t="s">
        <v>1085</v>
      </c>
      <c r="B2" s="3" t="s">
        <v>33</v>
      </c>
      <c r="C2" s="3" t="s">
        <v>19</v>
      </c>
      <c r="D2" s="3">
        <v>46.8</v>
      </c>
      <c r="E2" s="3">
        <v>155703.70000000001</v>
      </c>
      <c r="F2" s="3">
        <f>Table1[[#This Row],[Units Sold]]*Table1[[#This Row],[Unit Price]]</f>
        <v>7286933.1600000001</v>
      </c>
      <c r="G2" s="4">
        <v>45774</v>
      </c>
      <c r="H2" s="3" t="s">
        <v>11</v>
      </c>
      <c r="I2" s="6" t="s">
        <v>1091</v>
      </c>
    </row>
    <row r="3" spans="1:9" x14ac:dyDescent="0.3">
      <c r="A3" s="5" t="s">
        <v>12</v>
      </c>
      <c r="B3" s="3" t="s">
        <v>13</v>
      </c>
      <c r="C3" s="3" t="s">
        <v>1089</v>
      </c>
      <c r="D3" s="3">
        <v>46.8</v>
      </c>
      <c r="E3" s="3">
        <v>267992.94</v>
      </c>
      <c r="F3" s="3">
        <f>Table1[[#This Row],[Unit Price]]*Table1[[#This Row],[Units Sold]]</f>
        <v>12542069.592</v>
      </c>
      <c r="G3" s="4">
        <v>45366</v>
      </c>
      <c r="H3" s="3" t="s">
        <v>15</v>
      </c>
      <c r="I3" s="6" t="s">
        <v>16</v>
      </c>
    </row>
    <row r="4" spans="1:9" x14ac:dyDescent="0.3">
      <c r="A4" s="5" t="s">
        <v>17</v>
      </c>
      <c r="B4" s="3" t="s">
        <v>18</v>
      </c>
      <c r="C4" s="3" t="s">
        <v>19</v>
      </c>
      <c r="D4" s="3">
        <v>46.8</v>
      </c>
      <c r="E4" s="3">
        <v>42364.41</v>
      </c>
      <c r="F4" s="3">
        <f>Table1[[#This Row],[Unit Price]]*Table1[[#This Row],[Units Sold]]</f>
        <v>1982654.388</v>
      </c>
      <c r="G4" s="4">
        <v>45636</v>
      </c>
      <c r="H4" s="3" t="s">
        <v>1090</v>
      </c>
      <c r="I4" s="6" t="s">
        <v>20</v>
      </c>
    </row>
    <row r="5" spans="1:9" x14ac:dyDescent="0.3">
      <c r="A5" s="5" t="s">
        <v>21</v>
      </c>
      <c r="B5" s="3" t="s">
        <v>22</v>
      </c>
      <c r="C5" s="3" t="s">
        <v>19</v>
      </c>
      <c r="D5" s="3">
        <v>46.8</v>
      </c>
      <c r="E5" s="3">
        <v>279444.94</v>
      </c>
      <c r="F5" s="3">
        <f>Table1[[#This Row],[Unit Price]]*Table1[[#This Row],[Units Sold]]</f>
        <v>13078023.192</v>
      </c>
      <c r="G5" s="4">
        <v>45387</v>
      </c>
      <c r="H5" s="3" t="s">
        <v>1090</v>
      </c>
      <c r="I5" s="6" t="s">
        <v>23</v>
      </c>
    </row>
    <row r="6" spans="1:9" x14ac:dyDescent="0.3">
      <c r="A6" s="5" t="s">
        <v>24</v>
      </c>
      <c r="B6" s="3" t="s">
        <v>22</v>
      </c>
      <c r="C6" s="3" t="s">
        <v>25</v>
      </c>
      <c r="D6" s="3">
        <v>46.8</v>
      </c>
      <c r="E6" s="3">
        <v>95899.74</v>
      </c>
      <c r="F6" s="3">
        <f>Table1[[#This Row],[Unit Price]]*Table1[[#This Row],[Units Sold]]</f>
        <v>4488107.8320000004</v>
      </c>
      <c r="G6" s="4">
        <v>45669</v>
      </c>
      <c r="H6" s="3" t="s">
        <v>1090</v>
      </c>
      <c r="I6" s="6" t="s">
        <v>26</v>
      </c>
    </row>
    <row r="7" spans="1:9" x14ac:dyDescent="0.3">
      <c r="A7" s="5" t="s">
        <v>27</v>
      </c>
      <c r="B7" s="3" t="s">
        <v>1086</v>
      </c>
      <c r="C7" s="3" t="s">
        <v>29</v>
      </c>
      <c r="D7" s="3">
        <v>46.8</v>
      </c>
      <c r="E7" s="3">
        <v>118189.9</v>
      </c>
      <c r="F7" s="3">
        <f>Table1[[#This Row],[Unit Price]]*Table1[[#This Row],[Units Sold]]</f>
        <v>5531287.3199999994</v>
      </c>
      <c r="G7" s="4">
        <v>45168</v>
      </c>
      <c r="H7" s="3" t="s">
        <v>30</v>
      </c>
      <c r="I7" s="6" t="s">
        <v>31</v>
      </c>
    </row>
    <row r="8" spans="1:9" x14ac:dyDescent="0.3">
      <c r="A8" s="5" t="s">
        <v>32</v>
      </c>
      <c r="B8" s="3" t="s">
        <v>33</v>
      </c>
      <c r="C8" s="3" t="s">
        <v>25</v>
      </c>
      <c r="D8" s="3">
        <v>36</v>
      </c>
      <c r="E8" s="3">
        <v>185141.9</v>
      </c>
      <c r="F8" s="3">
        <v>6665108.4000000004</v>
      </c>
      <c r="G8" s="4">
        <v>45545</v>
      </c>
      <c r="H8" s="3" t="s">
        <v>15</v>
      </c>
      <c r="I8" s="6" t="s">
        <v>34</v>
      </c>
    </row>
    <row r="9" spans="1:9" x14ac:dyDescent="0.3">
      <c r="A9" s="5" t="s">
        <v>35</v>
      </c>
      <c r="B9" s="3" t="s">
        <v>36</v>
      </c>
      <c r="C9" s="3" t="s">
        <v>19</v>
      </c>
      <c r="D9" s="3">
        <v>46.8</v>
      </c>
      <c r="E9" s="3">
        <v>252859.28</v>
      </c>
      <c r="F9" s="3">
        <f>Table1[[#This Row],[Unit Price]]*Table1[[#This Row],[Units Sold]]</f>
        <v>11833814.304</v>
      </c>
      <c r="G9" s="4">
        <v>45539</v>
      </c>
      <c r="H9" s="3" t="s">
        <v>11</v>
      </c>
      <c r="I9" s="6" t="s">
        <v>37</v>
      </c>
    </row>
    <row r="10" spans="1:9" x14ac:dyDescent="0.3">
      <c r="A10" s="5" t="s">
        <v>38</v>
      </c>
      <c r="B10" s="3" t="s">
        <v>39</v>
      </c>
      <c r="C10" s="3" t="s">
        <v>29</v>
      </c>
      <c r="D10" s="3">
        <v>46.8</v>
      </c>
      <c r="E10" s="3">
        <v>178320.53</v>
      </c>
      <c r="F10" s="3">
        <f>Table1[[#This Row],[Unit Price]]*Table1[[#This Row],[Units Sold]]</f>
        <v>8345400.8039999995</v>
      </c>
      <c r="G10" s="4">
        <v>45343</v>
      </c>
      <c r="H10" s="3" t="s">
        <v>15</v>
      </c>
      <c r="I10" s="6" t="s">
        <v>41</v>
      </c>
    </row>
    <row r="11" spans="1:9" x14ac:dyDescent="0.3">
      <c r="A11" s="5" t="s">
        <v>42</v>
      </c>
      <c r="B11" s="3" t="s">
        <v>87</v>
      </c>
      <c r="C11" s="3" t="s">
        <v>25</v>
      </c>
      <c r="D11" s="3">
        <v>46.8</v>
      </c>
      <c r="E11" s="3">
        <v>152440.84</v>
      </c>
      <c r="F11" s="3">
        <f>Table1[[#This Row],[Unit Price]]*Table1[[#This Row],[Units Sold]]</f>
        <v>7134231.311999999</v>
      </c>
      <c r="G11" s="4">
        <v>45810</v>
      </c>
      <c r="H11" s="3" t="s">
        <v>30</v>
      </c>
      <c r="I11" s="6" t="s">
        <v>44</v>
      </c>
    </row>
    <row r="12" spans="1:9" x14ac:dyDescent="0.3">
      <c r="A12" s="5" t="s">
        <v>45</v>
      </c>
      <c r="B12" s="3" t="s">
        <v>46</v>
      </c>
      <c r="C12" s="3" t="s">
        <v>19</v>
      </c>
      <c r="D12" s="3">
        <v>46.8</v>
      </c>
      <c r="E12" s="3">
        <v>155703.70000000001</v>
      </c>
      <c r="F12" s="3">
        <f>Table1[[#This Row],[Unit Price]]*Table1[[#This Row],[Units Sold]]</f>
        <v>7286933.1600000001</v>
      </c>
      <c r="G12" s="4">
        <v>45350</v>
      </c>
      <c r="H12" s="3" t="s">
        <v>30</v>
      </c>
      <c r="I12" s="6" t="s">
        <v>47</v>
      </c>
    </row>
    <row r="13" spans="1:9" x14ac:dyDescent="0.3">
      <c r="A13" s="5" t="s">
        <v>48</v>
      </c>
      <c r="B13" s="3" t="s">
        <v>49</v>
      </c>
      <c r="C13" s="3" t="s">
        <v>50</v>
      </c>
      <c r="D13" s="3">
        <v>3</v>
      </c>
      <c r="E13" s="3">
        <v>153159.37</v>
      </c>
      <c r="F13" s="3">
        <v>459478.11</v>
      </c>
      <c r="G13" s="4">
        <v>45779</v>
      </c>
      <c r="H13" s="3" t="s">
        <v>51</v>
      </c>
      <c r="I13" s="6" t="s">
        <v>52</v>
      </c>
    </row>
    <row r="14" spans="1:9" x14ac:dyDescent="0.3">
      <c r="A14" s="5" t="s">
        <v>53</v>
      </c>
      <c r="B14" s="3" t="s">
        <v>13</v>
      </c>
      <c r="C14" s="3" t="s">
        <v>25</v>
      </c>
      <c r="D14" s="3">
        <v>43</v>
      </c>
      <c r="E14" s="3">
        <v>147209.07</v>
      </c>
      <c r="F14" s="3">
        <v>6329990.0099999998</v>
      </c>
      <c r="G14" s="4">
        <v>45240</v>
      </c>
      <c r="H14" s="3" t="s">
        <v>15</v>
      </c>
      <c r="I14" s="6" t="s">
        <v>54</v>
      </c>
    </row>
    <row r="15" spans="1:9" x14ac:dyDescent="0.3">
      <c r="A15" s="5" t="s">
        <v>1085</v>
      </c>
      <c r="B15" s="3" t="s">
        <v>39</v>
      </c>
      <c r="C15" s="3" t="s">
        <v>29</v>
      </c>
      <c r="D15" s="3">
        <v>46.8</v>
      </c>
      <c r="E15" s="3">
        <v>169095.82</v>
      </c>
      <c r="F15" s="3">
        <f>Table1[[#This Row],[Unit Price]]*Table1[[#This Row],[Units Sold]]</f>
        <v>7913684.3760000002</v>
      </c>
      <c r="G15" s="4">
        <v>45670</v>
      </c>
      <c r="H15" s="3" t="s">
        <v>1090</v>
      </c>
      <c r="I15" s="6" t="s">
        <v>55</v>
      </c>
    </row>
    <row r="16" spans="1:9" x14ac:dyDescent="0.3">
      <c r="A16" s="5" t="s">
        <v>56</v>
      </c>
      <c r="B16" s="3" t="s">
        <v>57</v>
      </c>
      <c r="C16" s="3" t="s">
        <v>25</v>
      </c>
      <c r="D16" s="3">
        <v>27</v>
      </c>
      <c r="E16" s="3">
        <v>142730.32999999999</v>
      </c>
      <c r="F16" s="3">
        <v>3853718.91</v>
      </c>
      <c r="G16" s="4">
        <v>45669</v>
      </c>
      <c r="H16" s="3" t="s">
        <v>30</v>
      </c>
      <c r="I16" s="6" t="s">
        <v>1091</v>
      </c>
    </row>
    <row r="17" spans="1:9" x14ac:dyDescent="0.3">
      <c r="A17" s="5" t="s">
        <v>58</v>
      </c>
      <c r="B17" s="3" t="s">
        <v>22</v>
      </c>
      <c r="C17" s="3" t="s">
        <v>59</v>
      </c>
      <c r="D17" s="3">
        <v>46.8</v>
      </c>
      <c r="E17" s="3">
        <v>5482.77</v>
      </c>
      <c r="F17" s="3">
        <f>Table1[[#This Row],[Unit Price]]*Table1[[#This Row],[Units Sold]]</f>
        <v>256593.636</v>
      </c>
      <c r="G17" s="4">
        <v>45838</v>
      </c>
      <c r="H17" s="3" t="s">
        <v>30</v>
      </c>
      <c r="I17" s="6" t="s">
        <v>60</v>
      </c>
    </row>
    <row r="18" spans="1:9" x14ac:dyDescent="0.3">
      <c r="A18" s="5" t="s">
        <v>61</v>
      </c>
      <c r="B18" s="3" t="s">
        <v>62</v>
      </c>
      <c r="C18" s="3" t="s">
        <v>59</v>
      </c>
      <c r="D18" s="3">
        <v>46.8</v>
      </c>
      <c r="E18" s="3">
        <v>99706.26</v>
      </c>
      <c r="F18" s="3">
        <f>Table1[[#This Row],[Unit Price]]*Table1[[#This Row],[Units Sold]]</f>
        <v>4666252.9679999994</v>
      </c>
      <c r="G18" s="4">
        <v>45661</v>
      </c>
      <c r="H18" s="3" t="s">
        <v>51</v>
      </c>
      <c r="I18" s="6" t="s">
        <v>64</v>
      </c>
    </row>
    <row r="19" spans="1:9" x14ac:dyDescent="0.3">
      <c r="A19" s="5" t="s">
        <v>65</v>
      </c>
      <c r="B19" s="3" t="s">
        <v>66</v>
      </c>
      <c r="C19" s="3" t="s">
        <v>50</v>
      </c>
      <c r="D19" s="3">
        <v>28</v>
      </c>
      <c r="E19" s="3">
        <v>33326.57</v>
      </c>
      <c r="F19" s="3">
        <v>933143.96</v>
      </c>
      <c r="G19" s="4">
        <v>45613</v>
      </c>
      <c r="H19" s="3" t="s">
        <v>1090</v>
      </c>
      <c r="I19" s="6" t="s">
        <v>67</v>
      </c>
    </row>
    <row r="20" spans="1:9" x14ac:dyDescent="0.3">
      <c r="A20" s="5" t="s">
        <v>68</v>
      </c>
      <c r="B20" s="3" t="s">
        <v>13</v>
      </c>
      <c r="C20" s="3" t="s">
        <v>1089</v>
      </c>
      <c r="D20" s="3">
        <v>43</v>
      </c>
      <c r="E20" s="3">
        <v>125253.81</v>
      </c>
      <c r="F20" s="3">
        <v>5385913.8300000001</v>
      </c>
      <c r="G20" s="4">
        <v>45253</v>
      </c>
      <c r="H20" s="3" t="s">
        <v>30</v>
      </c>
      <c r="I20" s="6" t="s">
        <v>70</v>
      </c>
    </row>
    <row r="21" spans="1:9" x14ac:dyDescent="0.3">
      <c r="A21" s="5" t="s">
        <v>71</v>
      </c>
      <c r="B21" s="3" t="s">
        <v>36</v>
      </c>
      <c r="C21" s="3" t="s">
        <v>1089</v>
      </c>
      <c r="D21" s="3">
        <v>77</v>
      </c>
      <c r="E21" s="3">
        <v>92649.51</v>
      </c>
      <c r="F21" s="3">
        <v>7134012.2699999996</v>
      </c>
      <c r="G21" s="4">
        <v>45734</v>
      </c>
      <c r="H21" s="3" t="s">
        <v>11</v>
      </c>
      <c r="I21" s="6" t="s">
        <v>72</v>
      </c>
    </row>
    <row r="22" spans="1:9" x14ac:dyDescent="0.3">
      <c r="A22" s="5" t="s">
        <v>73</v>
      </c>
      <c r="B22" s="3" t="s">
        <v>57</v>
      </c>
      <c r="C22" s="3" t="s">
        <v>29</v>
      </c>
      <c r="D22" s="3">
        <v>36</v>
      </c>
      <c r="E22" s="3">
        <v>155703.70000000001</v>
      </c>
      <c r="F22" s="3">
        <f>Table1[[#This Row],[Unit Price]]*Table1[[#This Row],[Units Sold]]</f>
        <v>5605333.2000000002</v>
      </c>
      <c r="G22" s="4">
        <v>45398</v>
      </c>
      <c r="H22" s="3" t="s">
        <v>1090</v>
      </c>
      <c r="I22" s="6" t="s">
        <v>74</v>
      </c>
    </row>
    <row r="23" spans="1:9" x14ac:dyDescent="0.3">
      <c r="A23" s="5" t="s">
        <v>75</v>
      </c>
      <c r="B23" s="3" t="s">
        <v>36</v>
      </c>
      <c r="C23" s="3" t="s">
        <v>76</v>
      </c>
      <c r="D23" s="3">
        <v>46.8</v>
      </c>
      <c r="E23" s="3">
        <v>269680.75</v>
      </c>
      <c r="F23" s="3">
        <f>Table1[[#This Row],[Unit Price]]*Table1[[#This Row],[Units Sold]]</f>
        <v>12621059.1</v>
      </c>
      <c r="G23" s="4">
        <v>45513</v>
      </c>
      <c r="H23" s="3" t="s">
        <v>15</v>
      </c>
      <c r="I23" s="6" t="s">
        <v>77</v>
      </c>
    </row>
    <row r="24" spans="1:9" x14ac:dyDescent="0.3">
      <c r="A24" s="5" t="s">
        <v>78</v>
      </c>
      <c r="B24" s="3" t="s">
        <v>46</v>
      </c>
      <c r="C24" s="3" t="s">
        <v>1089</v>
      </c>
      <c r="D24" s="3">
        <v>33</v>
      </c>
      <c r="E24" s="3">
        <v>261693.68</v>
      </c>
      <c r="F24" s="3">
        <v>8635891.4399999995</v>
      </c>
      <c r="G24" s="4">
        <v>45292</v>
      </c>
      <c r="H24" s="3" t="s">
        <v>51</v>
      </c>
      <c r="I24" s="6" t="s">
        <v>79</v>
      </c>
    </row>
    <row r="25" spans="1:9" x14ac:dyDescent="0.3">
      <c r="A25" s="5" t="s">
        <v>80</v>
      </c>
      <c r="B25" s="3" t="s">
        <v>22</v>
      </c>
      <c r="C25" s="3" t="s">
        <v>29</v>
      </c>
      <c r="D25" s="3">
        <v>46.8</v>
      </c>
      <c r="E25" s="3">
        <v>188963.51</v>
      </c>
      <c r="F25" s="3">
        <f>Table1[[#This Row],[Unit Price]]*Table1[[#This Row],[Units Sold]]</f>
        <v>8843492.2679999992</v>
      </c>
      <c r="G25" s="4">
        <v>45212</v>
      </c>
      <c r="H25" s="3" t="s">
        <v>11</v>
      </c>
      <c r="I25" s="6" t="s">
        <v>81</v>
      </c>
    </row>
    <row r="26" spans="1:9" x14ac:dyDescent="0.3">
      <c r="A26" s="5" t="s">
        <v>82</v>
      </c>
      <c r="B26" s="3" t="s">
        <v>83</v>
      </c>
      <c r="C26" s="3" t="s">
        <v>50</v>
      </c>
      <c r="D26" s="3">
        <v>4</v>
      </c>
      <c r="E26" s="3">
        <v>179274.43</v>
      </c>
      <c r="F26" s="3">
        <v>717097.72</v>
      </c>
      <c r="G26" s="4">
        <v>45274</v>
      </c>
      <c r="H26" s="3" t="s">
        <v>11</v>
      </c>
      <c r="I26" s="6" t="s">
        <v>85</v>
      </c>
    </row>
    <row r="27" spans="1:9" x14ac:dyDescent="0.3">
      <c r="A27" s="5" t="s">
        <v>86</v>
      </c>
      <c r="B27" s="3" t="s">
        <v>87</v>
      </c>
      <c r="C27" s="3" t="s">
        <v>76</v>
      </c>
      <c r="D27" s="3">
        <v>46.8</v>
      </c>
      <c r="E27" s="3">
        <v>80026.37</v>
      </c>
      <c r="F27" s="3">
        <f>Table1[[#This Row],[Unit Price]]*Table1[[#This Row],[Units Sold]]</f>
        <v>3745234.1159999995</v>
      </c>
      <c r="G27" s="4">
        <v>45733</v>
      </c>
      <c r="H27" s="3" t="s">
        <v>15</v>
      </c>
      <c r="I27" s="6" t="s">
        <v>88</v>
      </c>
    </row>
    <row r="28" spans="1:9" x14ac:dyDescent="0.3">
      <c r="A28" s="5" t="s">
        <v>1085</v>
      </c>
      <c r="B28" s="3" t="s">
        <v>18</v>
      </c>
      <c r="C28" s="3" t="s">
        <v>76</v>
      </c>
      <c r="D28" s="3">
        <v>46.8</v>
      </c>
      <c r="E28" s="3">
        <v>196849.5</v>
      </c>
      <c r="F28" s="3">
        <f>Table1[[#This Row],[Unit Price]]*Table1[[#This Row],[Units Sold]]</f>
        <v>9212556.5999999996</v>
      </c>
      <c r="G28" s="4">
        <v>45225</v>
      </c>
      <c r="H28" s="3" t="s">
        <v>51</v>
      </c>
      <c r="I28" s="6" t="s">
        <v>89</v>
      </c>
    </row>
    <row r="29" spans="1:9" x14ac:dyDescent="0.3">
      <c r="A29" s="5" t="s">
        <v>90</v>
      </c>
      <c r="B29" s="3" t="s">
        <v>13</v>
      </c>
      <c r="C29" s="3" t="s">
        <v>59</v>
      </c>
      <c r="D29" s="3">
        <v>42</v>
      </c>
      <c r="E29" s="3">
        <v>291631.03000000003</v>
      </c>
      <c r="F29" s="3">
        <v>12248503.26</v>
      </c>
      <c r="G29" s="4">
        <v>45301</v>
      </c>
      <c r="H29" s="3" t="s">
        <v>30</v>
      </c>
      <c r="I29" s="6" t="s">
        <v>91</v>
      </c>
    </row>
    <row r="30" spans="1:9" x14ac:dyDescent="0.3">
      <c r="A30" s="5" t="s">
        <v>92</v>
      </c>
      <c r="B30" s="3" t="s">
        <v>93</v>
      </c>
      <c r="C30" s="3" t="s">
        <v>19</v>
      </c>
      <c r="D30" s="3">
        <v>46.8</v>
      </c>
      <c r="E30" s="3">
        <v>173753.06</v>
      </c>
      <c r="F30" s="3">
        <f>Table1[[#This Row],[Unit Price]]*Table1[[#This Row],[Units Sold]]</f>
        <v>8131643.2079999996</v>
      </c>
      <c r="G30" s="4">
        <v>45731</v>
      </c>
      <c r="H30" s="3" t="s">
        <v>51</v>
      </c>
      <c r="I30" s="6" t="s">
        <v>1091</v>
      </c>
    </row>
    <row r="31" spans="1:9" x14ac:dyDescent="0.3">
      <c r="A31" s="5" t="s">
        <v>94</v>
      </c>
      <c r="B31" s="3" t="s">
        <v>46</v>
      </c>
      <c r="C31" s="3" t="s">
        <v>76</v>
      </c>
      <c r="D31" s="3">
        <v>7</v>
      </c>
      <c r="E31" s="3">
        <v>68649.2</v>
      </c>
      <c r="F31" s="3">
        <v>480544.4</v>
      </c>
      <c r="G31" s="4">
        <v>45501</v>
      </c>
      <c r="H31" s="3" t="s">
        <v>30</v>
      </c>
      <c r="I31" s="6" t="s">
        <v>95</v>
      </c>
    </row>
    <row r="32" spans="1:9" x14ac:dyDescent="0.3">
      <c r="A32" s="5" t="s">
        <v>96</v>
      </c>
      <c r="B32" s="3" t="s">
        <v>97</v>
      </c>
      <c r="C32" s="3" t="s">
        <v>98</v>
      </c>
      <c r="D32" s="3">
        <v>46.8</v>
      </c>
      <c r="E32" s="3">
        <v>155703.70000000001</v>
      </c>
      <c r="F32" s="3">
        <f>Table1[[#This Row],[Unit Price]]*Table1[[#This Row],[Units Sold]]</f>
        <v>7286933.1600000001</v>
      </c>
      <c r="G32" s="4">
        <v>45138</v>
      </c>
      <c r="H32" s="3" t="s">
        <v>15</v>
      </c>
      <c r="I32" s="6" t="s">
        <v>99</v>
      </c>
    </row>
    <row r="33" spans="1:9" x14ac:dyDescent="0.3">
      <c r="A33" s="5" t="s">
        <v>100</v>
      </c>
      <c r="B33" s="3" t="s">
        <v>18</v>
      </c>
      <c r="C33" s="3" t="s">
        <v>29</v>
      </c>
      <c r="D33" s="3">
        <v>68</v>
      </c>
      <c r="E33" s="3">
        <v>15880.87</v>
      </c>
      <c r="F33" s="3">
        <v>1079899.1599999999</v>
      </c>
      <c r="G33" s="4">
        <v>45398</v>
      </c>
      <c r="H33" s="3" t="s">
        <v>15</v>
      </c>
      <c r="I33" s="6" t="s">
        <v>101</v>
      </c>
    </row>
    <row r="34" spans="1:9" x14ac:dyDescent="0.3">
      <c r="A34" s="5" t="s">
        <v>102</v>
      </c>
      <c r="B34" s="3" t="s">
        <v>1086</v>
      </c>
      <c r="C34" s="3" t="s">
        <v>76</v>
      </c>
      <c r="D34" s="3">
        <v>96</v>
      </c>
      <c r="E34" s="3">
        <v>144394.41</v>
      </c>
      <c r="F34" s="3">
        <v>13861863.359999999</v>
      </c>
      <c r="G34" s="4">
        <v>45548</v>
      </c>
      <c r="H34" s="3" t="s">
        <v>11</v>
      </c>
      <c r="I34" s="6" t="s">
        <v>104</v>
      </c>
    </row>
    <row r="35" spans="1:9" x14ac:dyDescent="0.3">
      <c r="A35" s="5" t="s">
        <v>105</v>
      </c>
      <c r="B35" s="3" t="s">
        <v>57</v>
      </c>
      <c r="C35" s="3" t="s">
        <v>76</v>
      </c>
      <c r="D35" s="3">
        <v>46.8</v>
      </c>
      <c r="E35" s="3">
        <v>157507.57999999999</v>
      </c>
      <c r="F35" s="3">
        <f>Table1[[#This Row],[Unit Price]]*Table1[[#This Row],[Units Sold]]</f>
        <v>7371354.743999999</v>
      </c>
      <c r="G35" s="4">
        <v>45562</v>
      </c>
      <c r="H35" s="3" t="s">
        <v>11</v>
      </c>
      <c r="I35" s="6" t="s">
        <v>106</v>
      </c>
    </row>
    <row r="36" spans="1:9" x14ac:dyDescent="0.3">
      <c r="A36" s="5" t="s">
        <v>107</v>
      </c>
      <c r="B36" s="3" t="s">
        <v>97</v>
      </c>
      <c r="C36" s="3" t="s">
        <v>98</v>
      </c>
      <c r="D36" s="3">
        <v>46.8</v>
      </c>
      <c r="E36" s="3">
        <v>216494.26</v>
      </c>
      <c r="F36" s="3">
        <f>Table1[[#This Row],[Unit Price]]*Table1[[#This Row],[Units Sold]]</f>
        <v>10131931.368000001</v>
      </c>
      <c r="G36" s="4">
        <v>45404</v>
      </c>
      <c r="H36" s="3" t="s">
        <v>11</v>
      </c>
      <c r="I36" s="6" t="s">
        <v>108</v>
      </c>
    </row>
    <row r="37" spans="1:9" x14ac:dyDescent="0.3">
      <c r="A37" s="5" t="s">
        <v>109</v>
      </c>
      <c r="B37" s="3" t="s">
        <v>33</v>
      </c>
      <c r="C37" s="3" t="s">
        <v>76</v>
      </c>
      <c r="D37" s="3">
        <v>46.8</v>
      </c>
      <c r="E37" s="3">
        <v>232494.54</v>
      </c>
      <c r="F37" s="3">
        <f>Table1[[#This Row],[Unit Price]]*Table1[[#This Row],[Units Sold]]</f>
        <v>10880744.471999999</v>
      </c>
      <c r="G37" s="4">
        <v>45481</v>
      </c>
      <c r="H37" s="3" t="s">
        <v>15</v>
      </c>
      <c r="I37" s="6" t="s">
        <v>110</v>
      </c>
    </row>
    <row r="38" spans="1:9" x14ac:dyDescent="0.3">
      <c r="A38" s="5" t="s">
        <v>111</v>
      </c>
      <c r="B38" s="3" t="s">
        <v>39</v>
      </c>
      <c r="C38" s="3" t="s">
        <v>19</v>
      </c>
      <c r="D38" s="3">
        <v>46.8</v>
      </c>
      <c r="E38" s="3">
        <v>114367.01</v>
      </c>
      <c r="F38" s="3">
        <f>Table1[[#This Row],[Unit Price]]*Table1[[#This Row],[Units Sold]]</f>
        <v>5352376.067999999</v>
      </c>
      <c r="G38" s="4">
        <v>45742</v>
      </c>
      <c r="H38" s="3" t="s">
        <v>30</v>
      </c>
      <c r="I38" s="6" t="s">
        <v>113</v>
      </c>
    </row>
    <row r="39" spans="1:9" x14ac:dyDescent="0.3">
      <c r="A39" s="5" t="s">
        <v>114</v>
      </c>
      <c r="B39" s="3" t="s">
        <v>115</v>
      </c>
      <c r="C39" s="3" t="s">
        <v>98</v>
      </c>
      <c r="D39" s="3">
        <v>65</v>
      </c>
      <c r="E39" s="3">
        <v>246587.56</v>
      </c>
      <c r="F39" s="3">
        <v>16028191.4</v>
      </c>
      <c r="G39" s="4">
        <v>45546</v>
      </c>
      <c r="H39" s="3" t="s">
        <v>15</v>
      </c>
      <c r="I39" s="6" t="s">
        <v>116</v>
      </c>
    </row>
    <row r="40" spans="1:9" x14ac:dyDescent="0.3">
      <c r="A40" s="5" t="s">
        <v>117</v>
      </c>
      <c r="B40" s="3" t="s">
        <v>33</v>
      </c>
      <c r="C40" s="3" t="s">
        <v>59</v>
      </c>
      <c r="D40" s="3">
        <v>79</v>
      </c>
      <c r="E40" s="3">
        <v>73037.87</v>
      </c>
      <c r="F40" s="3">
        <v>5769991.7300000004</v>
      </c>
      <c r="G40" s="4">
        <v>45218</v>
      </c>
      <c r="H40" s="3" t="s">
        <v>15</v>
      </c>
      <c r="I40" s="6" t="s">
        <v>118</v>
      </c>
    </row>
    <row r="41" spans="1:9" x14ac:dyDescent="0.3">
      <c r="A41" s="5" t="s">
        <v>1085</v>
      </c>
      <c r="B41" s="3" t="s">
        <v>119</v>
      </c>
      <c r="C41" s="3" t="s">
        <v>25</v>
      </c>
      <c r="D41" s="3">
        <v>46.8</v>
      </c>
      <c r="E41" s="3">
        <v>171984.8</v>
      </c>
      <c r="F41" s="3">
        <f>Table1[[#This Row],[Unit Price]]*Table1[[#This Row],[Units Sold]]</f>
        <v>8048888.6399999987</v>
      </c>
      <c r="G41" s="4">
        <v>45593</v>
      </c>
      <c r="H41" s="3" t="s">
        <v>11</v>
      </c>
      <c r="I41" s="6" t="s">
        <v>120</v>
      </c>
    </row>
    <row r="42" spans="1:9" x14ac:dyDescent="0.3">
      <c r="A42" s="5" t="s">
        <v>121</v>
      </c>
      <c r="B42" s="3" t="s">
        <v>119</v>
      </c>
      <c r="C42" s="3" t="s">
        <v>76</v>
      </c>
      <c r="D42" s="3">
        <v>46.8</v>
      </c>
      <c r="E42" s="3">
        <v>155703.70000000001</v>
      </c>
      <c r="F42" s="3">
        <f>Table1[[#This Row],[Unit Price]]*Table1[[#This Row],[Units Sold]]</f>
        <v>7286933.1600000001</v>
      </c>
      <c r="G42" s="4">
        <v>45804</v>
      </c>
      <c r="H42" s="3" t="s">
        <v>51</v>
      </c>
      <c r="I42" s="6" t="s">
        <v>122</v>
      </c>
    </row>
    <row r="43" spans="1:9" x14ac:dyDescent="0.3">
      <c r="A43" s="5" t="s">
        <v>123</v>
      </c>
      <c r="B43" s="3" t="s">
        <v>66</v>
      </c>
      <c r="C43" s="3" t="s">
        <v>76</v>
      </c>
      <c r="D43" s="3">
        <v>46.8</v>
      </c>
      <c r="E43" s="3">
        <v>210306.01</v>
      </c>
      <c r="F43" s="3">
        <f>Table1[[#This Row],[Unit Price]]*Table1[[#This Row],[Units Sold]]</f>
        <v>9842321.2679999992</v>
      </c>
      <c r="G43" s="4">
        <v>45184</v>
      </c>
      <c r="H43" s="3" t="s">
        <v>11</v>
      </c>
      <c r="I43" s="6" t="s">
        <v>124</v>
      </c>
    </row>
    <row r="44" spans="1:9" x14ac:dyDescent="0.3">
      <c r="A44" s="5" t="s">
        <v>125</v>
      </c>
      <c r="B44" s="3" t="s">
        <v>18</v>
      </c>
      <c r="C44" s="3" t="s">
        <v>29</v>
      </c>
      <c r="D44" s="3">
        <v>4</v>
      </c>
      <c r="E44" s="3">
        <v>57639.91</v>
      </c>
      <c r="F44" s="3">
        <v>230559.64</v>
      </c>
      <c r="G44" s="4">
        <v>45169</v>
      </c>
      <c r="H44" s="3" t="s">
        <v>51</v>
      </c>
      <c r="I44" s="6" t="s">
        <v>1091</v>
      </c>
    </row>
    <row r="45" spans="1:9" x14ac:dyDescent="0.3">
      <c r="A45" s="5" t="s">
        <v>126</v>
      </c>
      <c r="B45" s="3" t="s">
        <v>49</v>
      </c>
      <c r="C45" s="3" t="s">
        <v>19</v>
      </c>
      <c r="D45" s="3">
        <v>46.8</v>
      </c>
      <c r="E45" s="3">
        <v>132591.04999999999</v>
      </c>
      <c r="F45" s="3">
        <f>Table1[[#This Row],[Unit Price]]*Table1[[#This Row],[Units Sold]]</f>
        <v>6205261.1399999987</v>
      </c>
      <c r="G45" s="4">
        <v>45358</v>
      </c>
      <c r="H45" s="3" t="s">
        <v>30</v>
      </c>
      <c r="I45" s="6" t="s">
        <v>127</v>
      </c>
    </row>
    <row r="46" spans="1:9" x14ac:dyDescent="0.3">
      <c r="A46" s="5" t="s">
        <v>128</v>
      </c>
      <c r="B46" s="3" t="s">
        <v>83</v>
      </c>
      <c r="C46" s="3" t="s">
        <v>29</v>
      </c>
      <c r="D46" s="3">
        <v>46.8</v>
      </c>
      <c r="E46" s="3">
        <v>125924.7</v>
      </c>
      <c r="F46" s="3">
        <f>Table1[[#This Row],[Unit Price]]*Table1[[#This Row],[Units Sold]]</f>
        <v>5893275.96</v>
      </c>
      <c r="G46" s="4">
        <v>45427</v>
      </c>
      <c r="H46" s="3" t="s">
        <v>30</v>
      </c>
      <c r="I46" s="6" t="s">
        <v>129</v>
      </c>
    </row>
    <row r="47" spans="1:9" x14ac:dyDescent="0.3">
      <c r="A47" s="5" t="s">
        <v>130</v>
      </c>
      <c r="B47" s="3" t="s">
        <v>36</v>
      </c>
      <c r="C47" s="3" t="s">
        <v>25</v>
      </c>
      <c r="D47" s="3">
        <v>46.8</v>
      </c>
      <c r="E47" s="3">
        <v>124181.55</v>
      </c>
      <c r="F47" s="3">
        <f>Table1[[#This Row],[Unit Price]]*Table1[[#This Row],[Units Sold]]</f>
        <v>5811696.54</v>
      </c>
      <c r="G47" s="4">
        <v>45674</v>
      </c>
      <c r="H47" s="3" t="s">
        <v>1090</v>
      </c>
      <c r="I47" s="6" t="s">
        <v>132</v>
      </c>
    </row>
    <row r="48" spans="1:9" x14ac:dyDescent="0.3">
      <c r="A48" s="5" t="s">
        <v>133</v>
      </c>
      <c r="B48" s="3" t="s">
        <v>33</v>
      </c>
      <c r="C48" s="3" t="s">
        <v>76</v>
      </c>
      <c r="D48" s="3">
        <v>46.8</v>
      </c>
      <c r="E48" s="3">
        <v>61565.56</v>
      </c>
      <c r="F48" s="3">
        <f>Table1[[#This Row],[Unit Price]]*Table1[[#This Row],[Units Sold]]</f>
        <v>2881268.2079999996</v>
      </c>
      <c r="G48" s="4">
        <v>45676</v>
      </c>
      <c r="H48" s="3" t="s">
        <v>1090</v>
      </c>
      <c r="I48" s="6" t="s">
        <v>134</v>
      </c>
    </row>
    <row r="49" spans="1:9" x14ac:dyDescent="0.3">
      <c r="A49" s="5" t="s">
        <v>135</v>
      </c>
      <c r="B49" s="3" t="s">
        <v>115</v>
      </c>
      <c r="C49" s="3" t="s">
        <v>19</v>
      </c>
      <c r="D49" s="3">
        <v>10</v>
      </c>
      <c r="E49" s="3">
        <v>150794.94</v>
      </c>
      <c r="F49" s="3">
        <v>1507949.4</v>
      </c>
      <c r="G49" s="4">
        <v>45489</v>
      </c>
      <c r="H49" s="3" t="s">
        <v>1090</v>
      </c>
      <c r="I49" s="6" t="s">
        <v>136</v>
      </c>
    </row>
    <row r="50" spans="1:9" x14ac:dyDescent="0.3">
      <c r="A50" s="5" t="s">
        <v>137</v>
      </c>
      <c r="B50" s="3" t="s">
        <v>39</v>
      </c>
      <c r="C50" s="3" t="s">
        <v>98</v>
      </c>
      <c r="D50" s="3">
        <v>46.8</v>
      </c>
      <c r="E50" s="3">
        <v>183637.68</v>
      </c>
      <c r="F50" s="3">
        <f>Table1[[#This Row],[Unit Price]]*Table1[[#This Row],[Units Sold]]</f>
        <v>8594243.4239999987</v>
      </c>
      <c r="G50" s="4">
        <v>45526</v>
      </c>
      <c r="H50" s="3" t="s">
        <v>30</v>
      </c>
      <c r="I50" s="6" t="s">
        <v>139</v>
      </c>
    </row>
    <row r="51" spans="1:9" x14ac:dyDescent="0.3">
      <c r="A51" s="5" t="s">
        <v>140</v>
      </c>
      <c r="B51" s="3" t="s">
        <v>36</v>
      </c>
      <c r="C51" s="3" t="s">
        <v>76</v>
      </c>
      <c r="D51" s="3">
        <v>19</v>
      </c>
      <c r="E51" s="3">
        <v>141745.84</v>
      </c>
      <c r="F51" s="3">
        <v>2693170.96</v>
      </c>
      <c r="G51" s="4">
        <v>45437</v>
      </c>
      <c r="H51" s="3" t="s">
        <v>11</v>
      </c>
      <c r="I51" s="6" t="s">
        <v>141</v>
      </c>
    </row>
    <row r="52" spans="1:9" x14ac:dyDescent="0.3">
      <c r="A52" s="5" t="s">
        <v>142</v>
      </c>
      <c r="B52" s="3" t="s">
        <v>143</v>
      </c>
      <c r="C52" s="3" t="s">
        <v>59</v>
      </c>
      <c r="D52" s="3">
        <v>46.8</v>
      </c>
      <c r="E52" s="3">
        <v>155703.70000000001</v>
      </c>
      <c r="F52" s="3">
        <f>Table1[[#This Row],[Unit Price]]*Table1[[#This Row],[Units Sold]]</f>
        <v>7286933.1600000001</v>
      </c>
      <c r="G52" s="4">
        <v>45715</v>
      </c>
      <c r="H52" s="3" t="s">
        <v>11</v>
      </c>
      <c r="I52" s="6" t="s">
        <v>144</v>
      </c>
    </row>
    <row r="53" spans="1:9" x14ac:dyDescent="0.3">
      <c r="A53" s="5" t="s">
        <v>145</v>
      </c>
      <c r="B53" s="3" t="s">
        <v>66</v>
      </c>
      <c r="C53" s="3" t="s">
        <v>76</v>
      </c>
      <c r="D53" s="3">
        <v>46.8</v>
      </c>
      <c r="E53" s="3">
        <v>254588.91</v>
      </c>
      <c r="F53" s="3">
        <f>Table1[[#This Row],[Unit Price]]*Table1[[#This Row],[Units Sold]]</f>
        <v>11914760.988</v>
      </c>
      <c r="G53" s="4">
        <v>45436</v>
      </c>
      <c r="H53" s="3" t="s">
        <v>11</v>
      </c>
      <c r="I53" s="6" t="s">
        <v>146</v>
      </c>
    </row>
    <row r="54" spans="1:9" x14ac:dyDescent="0.3">
      <c r="A54" s="5" t="s">
        <v>1085</v>
      </c>
      <c r="B54" s="3" t="s">
        <v>119</v>
      </c>
      <c r="C54" s="3" t="s">
        <v>1089</v>
      </c>
      <c r="D54" s="3">
        <v>46.8</v>
      </c>
      <c r="E54" s="3">
        <v>218356.93</v>
      </c>
      <c r="F54" s="3">
        <f>Table1[[#This Row],[Unit Price]]*Table1[[#This Row],[Units Sold]]</f>
        <v>10219104.323999999</v>
      </c>
      <c r="G54" s="4">
        <v>45757</v>
      </c>
      <c r="H54" s="3" t="s">
        <v>15</v>
      </c>
      <c r="I54" s="6" t="s">
        <v>147</v>
      </c>
    </row>
    <row r="55" spans="1:9" x14ac:dyDescent="0.3">
      <c r="A55" s="5" t="s">
        <v>148</v>
      </c>
      <c r="B55" s="3" t="s">
        <v>87</v>
      </c>
      <c r="C55" s="3" t="s">
        <v>19</v>
      </c>
      <c r="D55" s="3">
        <v>46.8</v>
      </c>
      <c r="E55" s="3">
        <v>211879.67999999999</v>
      </c>
      <c r="F55" s="3">
        <f>Table1[[#This Row],[Unit Price]]*Table1[[#This Row],[Units Sold]]</f>
        <v>9915969.0239999983</v>
      </c>
      <c r="G55" s="4">
        <v>45564</v>
      </c>
      <c r="H55" s="3" t="s">
        <v>1090</v>
      </c>
      <c r="I55" s="6" t="s">
        <v>149</v>
      </c>
    </row>
    <row r="56" spans="1:9" x14ac:dyDescent="0.3">
      <c r="A56" s="5" t="s">
        <v>150</v>
      </c>
      <c r="B56" s="3" t="s">
        <v>57</v>
      </c>
      <c r="C56" s="3" t="s">
        <v>1089</v>
      </c>
      <c r="D56" s="3">
        <v>46.8</v>
      </c>
      <c r="E56" s="3">
        <v>155845.62</v>
      </c>
      <c r="F56" s="3">
        <f>Table1[[#This Row],[Unit Price]]*Table1[[#This Row],[Units Sold]]</f>
        <v>7293575.0159999989</v>
      </c>
      <c r="G56" s="4">
        <v>45175</v>
      </c>
      <c r="H56" s="3" t="s">
        <v>11</v>
      </c>
      <c r="I56" s="6" t="s">
        <v>152</v>
      </c>
    </row>
    <row r="57" spans="1:9" x14ac:dyDescent="0.3">
      <c r="A57" s="5" t="s">
        <v>153</v>
      </c>
      <c r="B57" s="3" t="s">
        <v>39</v>
      </c>
      <c r="C57" s="3" t="s">
        <v>98</v>
      </c>
      <c r="D57" s="3">
        <v>46.8</v>
      </c>
      <c r="E57" s="3">
        <v>168485.59</v>
      </c>
      <c r="F57" s="3">
        <f>Table1[[#This Row],[Unit Price]]*Table1[[#This Row],[Units Sold]]</f>
        <v>7885125.6119999997</v>
      </c>
      <c r="G57" s="4">
        <v>45215</v>
      </c>
      <c r="H57" s="3" t="s">
        <v>1090</v>
      </c>
      <c r="I57" s="6" t="s">
        <v>154</v>
      </c>
    </row>
    <row r="58" spans="1:9" x14ac:dyDescent="0.3">
      <c r="A58" s="5" t="s">
        <v>155</v>
      </c>
      <c r="B58" s="3" t="s">
        <v>49</v>
      </c>
      <c r="C58" s="3" t="s">
        <v>76</v>
      </c>
      <c r="D58" s="3">
        <v>46.8</v>
      </c>
      <c r="E58" s="3">
        <v>299437.8</v>
      </c>
      <c r="F58" s="3">
        <f>Table1[[#This Row],[Unit Price]]*Table1[[#This Row],[Units Sold]]</f>
        <v>14013689.039999999</v>
      </c>
      <c r="G58" s="4">
        <v>45364</v>
      </c>
      <c r="H58" s="3" t="s">
        <v>1090</v>
      </c>
      <c r="I58" s="6" t="s">
        <v>1091</v>
      </c>
    </row>
    <row r="59" spans="1:9" x14ac:dyDescent="0.3">
      <c r="A59" s="5" t="s">
        <v>156</v>
      </c>
      <c r="B59" s="3" t="s">
        <v>22</v>
      </c>
      <c r="C59" s="3" t="s">
        <v>98</v>
      </c>
      <c r="D59" s="3">
        <v>46.8</v>
      </c>
      <c r="E59" s="3">
        <v>143772.10999999999</v>
      </c>
      <c r="F59" s="3">
        <f>Table1[[#This Row],[Unit Price]]*Table1[[#This Row],[Units Sold]]</f>
        <v>6728534.7479999987</v>
      </c>
      <c r="G59" s="4">
        <v>45616</v>
      </c>
      <c r="H59" s="3" t="s">
        <v>15</v>
      </c>
      <c r="I59" s="7" t="s">
        <v>157</v>
      </c>
    </row>
    <row r="60" spans="1:9" x14ac:dyDescent="0.3">
      <c r="A60" s="5" t="s">
        <v>158</v>
      </c>
      <c r="B60" s="3" t="s">
        <v>143</v>
      </c>
      <c r="C60" s="3" t="s">
        <v>50</v>
      </c>
      <c r="D60" s="3">
        <v>46.8</v>
      </c>
      <c r="E60" s="3">
        <v>113359.02</v>
      </c>
      <c r="F60" s="3">
        <f>Table1[[#This Row],[Unit Price]]*Table1[[#This Row],[Units Sold]]</f>
        <v>5305202.1359999999</v>
      </c>
      <c r="G60" s="4">
        <v>45175</v>
      </c>
      <c r="H60" s="3" t="s">
        <v>30</v>
      </c>
      <c r="I60" s="6" t="s">
        <v>159</v>
      </c>
    </row>
    <row r="61" spans="1:9" x14ac:dyDescent="0.3">
      <c r="A61" s="5" t="s">
        <v>160</v>
      </c>
      <c r="B61" s="3" t="s">
        <v>39</v>
      </c>
      <c r="C61" s="3" t="s">
        <v>76</v>
      </c>
      <c r="D61" s="3">
        <v>46.8</v>
      </c>
      <c r="E61" s="3">
        <v>287027.3</v>
      </c>
      <c r="F61" s="3">
        <f>Table1[[#This Row],[Unit Price]]*Table1[[#This Row],[Units Sold]]</f>
        <v>13432877.639999999</v>
      </c>
      <c r="G61" s="4">
        <v>45467</v>
      </c>
      <c r="H61" s="3" t="s">
        <v>11</v>
      </c>
      <c r="I61" s="6" t="s">
        <v>161</v>
      </c>
    </row>
    <row r="62" spans="1:9" x14ac:dyDescent="0.3">
      <c r="A62" s="5" t="s">
        <v>162</v>
      </c>
      <c r="B62" s="3" t="s">
        <v>22</v>
      </c>
      <c r="C62" s="3" t="s">
        <v>1089</v>
      </c>
      <c r="D62" s="3">
        <v>46.8</v>
      </c>
      <c r="E62" s="3">
        <v>155703.70000000001</v>
      </c>
      <c r="F62" s="3">
        <f>Table1[[#This Row],[Unit Price]]*Table1[[#This Row],[Units Sold]]</f>
        <v>7286933.1600000001</v>
      </c>
      <c r="G62" s="4">
        <v>45479</v>
      </c>
      <c r="H62" s="3" t="s">
        <v>15</v>
      </c>
      <c r="I62" s="6" t="s">
        <v>163</v>
      </c>
    </row>
    <row r="63" spans="1:9" x14ac:dyDescent="0.3">
      <c r="A63" s="5" t="s">
        <v>1087</v>
      </c>
      <c r="B63" s="3" t="s">
        <v>33</v>
      </c>
      <c r="C63" s="3" t="s">
        <v>19</v>
      </c>
      <c r="D63" s="3">
        <v>93</v>
      </c>
      <c r="E63" s="3">
        <v>138169.23000000001</v>
      </c>
      <c r="F63" s="3">
        <v>12849738.390000001</v>
      </c>
      <c r="G63" s="4">
        <v>45646</v>
      </c>
      <c r="H63" s="3" t="s">
        <v>30</v>
      </c>
      <c r="I63" s="6" t="s">
        <v>165</v>
      </c>
    </row>
    <row r="64" spans="1:9" x14ac:dyDescent="0.3">
      <c r="A64" s="5" t="s">
        <v>166</v>
      </c>
      <c r="B64" s="3" t="s">
        <v>115</v>
      </c>
      <c r="C64" s="3" t="s">
        <v>1089</v>
      </c>
      <c r="D64" s="3">
        <v>46.8</v>
      </c>
      <c r="E64" s="3">
        <v>160171.56</v>
      </c>
      <c r="F64" s="3">
        <f>Table1[[#This Row],[Unit Price]]*Table1[[#This Row],[Units Sold]]</f>
        <v>7496029.0079999994</v>
      </c>
      <c r="G64" s="4">
        <v>45519</v>
      </c>
      <c r="H64" s="3" t="s">
        <v>30</v>
      </c>
      <c r="I64" s="6" t="s">
        <v>167</v>
      </c>
    </row>
    <row r="65" spans="1:9" x14ac:dyDescent="0.3">
      <c r="A65" s="5" t="s">
        <v>168</v>
      </c>
      <c r="B65" s="3" t="s">
        <v>18</v>
      </c>
      <c r="C65" s="3" t="s">
        <v>98</v>
      </c>
      <c r="D65" s="3">
        <v>46.8</v>
      </c>
      <c r="E65" s="3">
        <v>164108.82999999999</v>
      </c>
      <c r="F65" s="3">
        <f>Table1[[#This Row],[Unit Price]]*Table1[[#This Row],[Units Sold]]</f>
        <v>7680293.243999999</v>
      </c>
      <c r="G65" s="4">
        <v>45385</v>
      </c>
      <c r="H65" s="3" t="s">
        <v>11</v>
      </c>
      <c r="I65" s="6" t="s">
        <v>170</v>
      </c>
    </row>
    <row r="66" spans="1:9" x14ac:dyDescent="0.3">
      <c r="A66" s="5" t="s">
        <v>171</v>
      </c>
      <c r="B66" s="3" t="s">
        <v>83</v>
      </c>
      <c r="C66" s="3" t="s">
        <v>25</v>
      </c>
      <c r="D66" s="3">
        <v>46.8</v>
      </c>
      <c r="E66" s="3">
        <v>202922.64</v>
      </c>
      <c r="F66" s="3">
        <f>Table1[[#This Row],[Unit Price]]*Table1[[#This Row],[Units Sold]]</f>
        <v>9496779.5519999992</v>
      </c>
      <c r="G66" s="4">
        <v>45217</v>
      </c>
      <c r="H66" s="3" t="s">
        <v>1090</v>
      </c>
      <c r="I66" s="6" t="s">
        <v>173</v>
      </c>
    </row>
    <row r="67" spans="1:9" x14ac:dyDescent="0.3">
      <c r="A67" s="5" t="s">
        <v>1085</v>
      </c>
      <c r="B67" s="3" t="s">
        <v>119</v>
      </c>
      <c r="C67" s="3" t="s">
        <v>76</v>
      </c>
      <c r="D67" s="3">
        <v>46.8</v>
      </c>
      <c r="E67" s="3">
        <v>260362.49</v>
      </c>
      <c r="F67" s="3">
        <f>Table1[[#This Row],[Unit Price]]*Table1[[#This Row],[Units Sold]]</f>
        <v>12184964.532</v>
      </c>
      <c r="G67" s="4">
        <v>45799</v>
      </c>
      <c r="H67" s="3" t="s">
        <v>51</v>
      </c>
      <c r="I67" s="6" t="s">
        <v>174</v>
      </c>
    </row>
    <row r="68" spans="1:9" x14ac:dyDescent="0.3">
      <c r="A68" s="5" t="s">
        <v>175</v>
      </c>
      <c r="B68" s="3" t="s">
        <v>93</v>
      </c>
      <c r="C68" s="3" t="s">
        <v>59</v>
      </c>
      <c r="D68" s="3">
        <v>94</v>
      </c>
      <c r="E68" s="3">
        <v>204383.39</v>
      </c>
      <c r="F68" s="3">
        <v>19212038.66</v>
      </c>
      <c r="G68" s="4">
        <v>45761</v>
      </c>
      <c r="H68" s="3" t="s">
        <v>1090</v>
      </c>
      <c r="I68" s="6" t="s">
        <v>176</v>
      </c>
    </row>
    <row r="69" spans="1:9" x14ac:dyDescent="0.3">
      <c r="A69" s="5" t="s">
        <v>177</v>
      </c>
      <c r="B69" s="3" t="s">
        <v>119</v>
      </c>
      <c r="C69" s="3" t="s">
        <v>29</v>
      </c>
      <c r="D69" s="3">
        <v>46.8</v>
      </c>
      <c r="E69" s="3">
        <v>241193.93</v>
      </c>
      <c r="F69" s="3">
        <f>Table1[[#This Row],[Unit Price]]*Table1[[#This Row],[Units Sold]]</f>
        <v>11287875.923999999</v>
      </c>
      <c r="G69" s="4">
        <v>45724</v>
      </c>
      <c r="H69" s="3" t="s">
        <v>1090</v>
      </c>
      <c r="I69" s="6" t="s">
        <v>178</v>
      </c>
    </row>
    <row r="70" spans="1:9" x14ac:dyDescent="0.3">
      <c r="A70" s="5" t="s">
        <v>179</v>
      </c>
      <c r="B70" s="3" t="s">
        <v>119</v>
      </c>
      <c r="C70" s="3" t="s">
        <v>19</v>
      </c>
      <c r="D70" s="3">
        <v>46.8</v>
      </c>
      <c r="E70" s="3">
        <v>79676.47</v>
      </c>
      <c r="F70" s="3">
        <f>Table1[[#This Row],[Unit Price]]*Table1[[#This Row],[Units Sold]]</f>
        <v>3728858.7959999996</v>
      </c>
      <c r="G70" s="4">
        <v>45546</v>
      </c>
      <c r="H70" s="3" t="s">
        <v>51</v>
      </c>
      <c r="I70" s="6" t="s">
        <v>180</v>
      </c>
    </row>
    <row r="71" spans="1:9" x14ac:dyDescent="0.3">
      <c r="A71" s="5" t="s">
        <v>181</v>
      </c>
      <c r="B71" s="3" t="s">
        <v>57</v>
      </c>
      <c r="C71" s="3" t="s">
        <v>59</v>
      </c>
      <c r="D71" s="3">
        <v>46.8</v>
      </c>
      <c r="E71" s="3">
        <v>145511.94</v>
      </c>
      <c r="F71" s="3">
        <f>Table1[[#This Row],[Unit Price]]*Table1[[#This Row],[Units Sold]]</f>
        <v>6809958.7919999994</v>
      </c>
      <c r="G71" s="4">
        <v>45614</v>
      </c>
      <c r="H71" s="3" t="s">
        <v>30</v>
      </c>
      <c r="I71" s="6" t="s">
        <v>182</v>
      </c>
    </row>
    <row r="72" spans="1:9" x14ac:dyDescent="0.3">
      <c r="A72" s="5" t="s">
        <v>183</v>
      </c>
      <c r="B72" s="3" t="s">
        <v>18</v>
      </c>
      <c r="C72" s="3" t="s">
        <v>59</v>
      </c>
      <c r="D72" s="3">
        <v>46.8</v>
      </c>
      <c r="E72" s="3">
        <v>155703.70000000001</v>
      </c>
      <c r="F72" s="3">
        <f>Table1[[#This Row],[Unit Price]]*Table1[[#This Row],[Units Sold]]</f>
        <v>7286933.1600000001</v>
      </c>
      <c r="G72" s="4">
        <v>45574</v>
      </c>
      <c r="H72" s="3" t="s">
        <v>51</v>
      </c>
      <c r="I72" s="6" t="s">
        <v>1091</v>
      </c>
    </row>
    <row r="73" spans="1:9" x14ac:dyDescent="0.3">
      <c r="A73" s="5" t="s">
        <v>184</v>
      </c>
      <c r="B73" s="3" t="s">
        <v>39</v>
      </c>
      <c r="C73" s="3" t="s">
        <v>76</v>
      </c>
      <c r="D73" s="3">
        <v>61</v>
      </c>
      <c r="E73" s="3">
        <v>287222.55</v>
      </c>
      <c r="F73" s="3">
        <v>17520575.550000001</v>
      </c>
      <c r="G73" s="4">
        <v>45259</v>
      </c>
      <c r="H73" s="3" t="s">
        <v>51</v>
      </c>
      <c r="I73" s="6" t="s">
        <v>185</v>
      </c>
    </row>
    <row r="74" spans="1:9" x14ac:dyDescent="0.3">
      <c r="A74" s="5" t="s">
        <v>186</v>
      </c>
      <c r="B74" s="3" t="s">
        <v>66</v>
      </c>
      <c r="C74" s="3" t="s">
        <v>25</v>
      </c>
      <c r="D74" s="3">
        <v>12</v>
      </c>
      <c r="E74" s="3">
        <v>84062.42</v>
      </c>
      <c r="F74" s="3">
        <v>1008749.04</v>
      </c>
      <c r="G74" s="4">
        <v>45714</v>
      </c>
      <c r="H74" s="3" t="s">
        <v>15</v>
      </c>
      <c r="I74" s="6" t="s">
        <v>188</v>
      </c>
    </row>
    <row r="75" spans="1:9" x14ac:dyDescent="0.3">
      <c r="A75" s="5" t="s">
        <v>189</v>
      </c>
      <c r="B75" s="3" t="s">
        <v>93</v>
      </c>
      <c r="C75" s="3" t="s">
        <v>76</v>
      </c>
      <c r="D75" s="3">
        <v>46.8</v>
      </c>
      <c r="E75" s="3">
        <v>89900.5</v>
      </c>
      <c r="F75" s="3">
        <f>Table1[[#This Row],[Unit Price]]*Table1[[#This Row],[Units Sold]]</f>
        <v>4207343.3999999994</v>
      </c>
      <c r="G75" s="4">
        <v>45218</v>
      </c>
      <c r="H75" s="3" t="s">
        <v>15</v>
      </c>
      <c r="I75" s="6" t="s">
        <v>190</v>
      </c>
    </row>
    <row r="76" spans="1:9" x14ac:dyDescent="0.3">
      <c r="A76" s="5" t="s">
        <v>191</v>
      </c>
      <c r="B76" s="3" t="s">
        <v>36</v>
      </c>
      <c r="C76" s="3" t="s">
        <v>25</v>
      </c>
      <c r="D76" s="3">
        <v>46.8</v>
      </c>
      <c r="E76" s="3">
        <v>282474.92</v>
      </c>
      <c r="F76" s="3">
        <f>Table1[[#This Row],[Unit Price]]*Table1[[#This Row],[Units Sold]]</f>
        <v>13219826.255999999</v>
      </c>
      <c r="G76" s="4">
        <v>45454</v>
      </c>
      <c r="H76" s="3" t="s">
        <v>15</v>
      </c>
      <c r="I76" s="6" t="s">
        <v>192</v>
      </c>
    </row>
    <row r="77" spans="1:9" x14ac:dyDescent="0.3">
      <c r="A77" s="5" t="s">
        <v>193</v>
      </c>
      <c r="B77" s="3" t="s">
        <v>22</v>
      </c>
      <c r="C77" s="3" t="s">
        <v>50</v>
      </c>
      <c r="D77" s="3">
        <v>46.8</v>
      </c>
      <c r="E77" s="3">
        <v>294686.96000000002</v>
      </c>
      <c r="F77" s="3">
        <f>Table1[[#This Row],[Unit Price]]*Table1[[#This Row],[Units Sold]]</f>
        <v>13791349.728</v>
      </c>
      <c r="G77" s="4">
        <v>45508</v>
      </c>
      <c r="H77" s="3" t="s">
        <v>30</v>
      </c>
      <c r="I77" s="6" t="s">
        <v>194</v>
      </c>
    </row>
    <row r="78" spans="1:9" x14ac:dyDescent="0.3">
      <c r="A78" s="5" t="s">
        <v>195</v>
      </c>
      <c r="B78" s="3" t="s">
        <v>93</v>
      </c>
      <c r="C78" s="3" t="s">
        <v>19</v>
      </c>
      <c r="D78" s="3">
        <v>46.8</v>
      </c>
      <c r="E78" s="3">
        <v>231466.69</v>
      </c>
      <c r="F78" s="3">
        <f>Table1[[#This Row],[Unit Price]]*Table1[[#This Row],[Units Sold]]</f>
        <v>10832641.092</v>
      </c>
      <c r="G78" s="4">
        <v>45825</v>
      </c>
      <c r="H78" s="3" t="s">
        <v>51</v>
      </c>
      <c r="I78" s="6" t="s">
        <v>196</v>
      </c>
    </row>
    <row r="79" spans="1:9" x14ac:dyDescent="0.3">
      <c r="A79" s="5" t="s">
        <v>197</v>
      </c>
      <c r="B79" s="3" t="s">
        <v>83</v>
      </c>
      <c r="C79" s="3" t="s">
        <v>98</v>
      </c>
      <c r="D79" s="3">
        <v>46.8</v>
      </c>
      <c r="E79" s="3">
        <v>211617.83</v>
      </c>
      <c r="F79" s="3">
        <f>Table1[[#This Row],[Unit Price]]*Table1[[#This Row],[Units Sold]]</f>
        <v>9903714.4439999983</v>
      </c>
      <c r="G79" s="4">
        <v>45792</v>
      </c>
      <c r="H79" s="3" t="s">
        <v>11</v>
      </c>
      <c r="I79" s="6" t="s">
        <v>198</v>
      </c>
    </row>
    <row r="80" spans="1:9" x14ac:dyDescent="0.3">
      <c r="A80" s="5" t="s">
        <v>1085</v>
      </c>
      <c r="B80" s="3" t="s">
        <v>115</v>
      </c>
      <c r="C80" s="3" t="s">
        <v>98</v>
      </c>
      <c r="D80" s="3">
        <v>46.8</v>
      </c>
      <c r="E80" s="3">
        <v>207226.85</v>
      </c>
      <c r="F80" s="3">
        <f>Table1[[#This Row],[Unit Price]]*Table1[[#This Row],[Units Sold]]</f>
        <v>9698216.5800000001</v>
      </c>
      <c r="G80" s="4">
        <v>45161</v>
      </c>
      <c r="H80" s="3" t="s">
        <v>51</v>
      </c>
      <c r="I80" s="6" t="s">
        <v>199</v>
      </c>
    </row>
    <row r="81" spans="1:9" x14ac:dyDescent="0.3">
      <c r="A81" s="5" t="s">
        <v>200</v>
      </c>
      <c r="B81" s="3" t="s">
        <v>18</v>
      </c>
      <c r="C81" s="3" t="s">
        <v>59</v>
      </c>
      <c r="D81" s="3">
        <v>46.8</v>
      </c>
      <c r="E81" s="3">
        <v>146956.42000000001</v>
      </c>
      <c r="F81" s="3">
        <f>Table1[[#This Row],[Unit Price]]*Table1[[#This Row],[Units Sold]]</f>
        <v>6877560.4560000002</v>
      </c>
      <c r="G81" s="4">
        <v>45763</v>
      </c>
      <c r="H81" s="3" t="s">
        <v>30</v>
      </c>
      <c r="I81" s="6" t="s">
        <v>201</v>
      </c>
    </row>
    <row r="82" spans="1:9" x14ac:dyDescent="0.3">
      <c r="A82" s="5" t="s">
        <v>202</v>
      </c>
      <c r="B82" s="3" t="s">
        <v>36</v>
      </c>
      <c r="C82" s="3" t="s">
        <v>29</v>
      </c>
      <c r="D82" s="3">
        <v>46.8</v>
      </c>
      <c r="E82" s="3">
        <v>155703.70000000001</v>
      </c>
      <c r="F82" s="3">
        <f>Table1[[#This Row],[Unit Price]]*Table1[[#This Row],[Units Sold]]</f>
        <v>7286933.1600000001</v>
      </c>
      <c r="G82" s="4">
        <v>45214</v>
      </c>
      <c r="H82" s="3" t="s">
        <v>15</v>
      </c>
      <c r="I82" s="6" t="s">
        <v>203</v>
      </c>
    </row>
    <row r="83" spans="1:9" x14ac:dyDescent="0.3">
      <c r="A83" s="5" t="s">
        <v>204</v>
      </c>
      <c r="B83" s="3" t="s">
        <v>22</v>
      </c>
      <c r="C83" s="3" t="s">
        <v>50</v>
      </c>
      <c r="D83" s="3">
        <v>46.8</v>
      </c>
      <c r="E83" s="3">
        <v>144201.13</v>
      </c>
      <c r="F83" s="3">
        <f>Table1[[#This Row],[Unit Price]]*Table1[[#This Row],[Units Sold]]</f>
        <v>6748612.8839999996</v>
      </c>
      <c r="G83" s="4">
        <v>45520</v>
      </c>
      <c r="H83" s="3" t="s">
        <v>30</v>
      </c>
      <c r="I83" s="6" t="s">
        <v>206</v>
      </c>
    </row>
    <row r="84" spans="1:9" x14ac:dyDescent="0.3">
      <c r="A84" s="5" t="s">
        <v>207</v>
      </c>
      <c r="B84" s="3" t="s">
        <v>97</v>
      </c>
      <c r="C84" s="3" t="s">
        <v>98</v>
      </c>
      <c r="D84" s="3">
        <v>46.8</v>
      </c>
      <c r="E84" s="3">
        <v>168366.03</v>
      </c>
      <c r="F84" s="3">
        <f>Table1[[#This Row],[Unit Price]]*Table1[[#This Row],[Units Sold]]</f>
        <v>7879530.2039999999</v>
      </c>
      <c r="G84" s="4">
        <v>45236</v>
      </c>
      <c r="H84" s="3" t="s">
        <v>15</v>
      </c>
      <c r="I84" s="6" t="s">
        <v>208</v>
      </c>
    </row>
    <row r="85" spans="1:9" x14ac:dyDescent="0.3">
      <c r="A85" s="5" t="s">
        <v>209</v>
      </c>
      <c r="B85" s="3" t="s">
        <v>49</v>
      </c>
      <c r="C85" s="3" t="s">
        <v>98</v>
      </c>
      <c r="D85" s="3">
        <v>93</v>
      </c>
      <c r="E85" s="3">
        <v>280378.37</v>
      </c>
      <c r="F85" s="3">
        <v>26075188.41</v>
      </c>
      <c r="G85" s="4">
        <v>45354</v>
      </c>
      <c r="H85" s="3" t="s">
        <v>30</v>
      </c>
      <c r="I85" s="6" t="s">
        <v>210</v>
      </c>
    </row>
    <row r="86" spans="1:9" x14ac:dyDescent="0.3">
      <c r="A86" s="5" t="s">
        <v>211</v>
      </c>
      <c r="B86" s="3" t="s">
        <v>22</v>
      </c>
      <c r="C86" s="3" t="s">
        <v>29</v>
      </c>
      <c r="D86" s="3">
        <v>46.8</v>
      </c>
      <c r="E86" s="3">
        <v>216638.48</v>
      </c>
      <c r="F86" s="3">
        <f>Table1[[#This Row],[Unit Price]]*Table1[[#This Row],[Units Sold]]</f>
        <v>10138680.864</v>
      </c>
      <c r="G86" s="4">
        <v>45245</v>
      </c>
      <c r="H86" s="3" t="s">
        <v>11</v>
      </c>
      <c r="I86" s="6" t="s">
        <v>1091</v>
      </c>
    </row>
    <row r="87" spans="1:9" x14ac:dyDescent="0.3">
      <c r="A87" s="5" t="s">
        <v>212</v>
      </c>
      <c r="B87" s="3" t="s">
        <v>49</v>
      </c>
      <c r="C87" s="3" t="s">
        <v>29</v>
      </c>
      <c r="D87" s="3">
        <v>46.8</v>
      </c>
      <c r="E87" s="3">
        <v>86692.92</v>
      </c>
      <c r="F87" s="3">
        <f>Table1[[#This Row],[Unit Price]]*Table1[[#This Row],[Units Sold]]</f>
        <v>4057228.6559999995</v>
      </c>
      <c r="G87" s="4">
        <v>45243</v>
      </c>
      <c r="H87" s="3" t="s">
        <v>15</v>
      </c>
      <c r="I87" s="6" t="s">
        <v>213</v>
      </c>
    </row>
    <row r="88" spans="1:9" x14ac:dyDescent="0.3">
      <c r="A88" s="5" t="s">
        <v>214</v>
      </c>
      <c r="B88" s="3" t="s">
        <v>97</v>
      </c>
      <c r="C88" s="3" t="s">
        <v>98</v>
      </c>
      <c r="D88" s="3">
        <v>46.8</v>
      </c>
      <c r="E88" s="3">
        <v>172256.3</v>
      </c>
      <c r="F88" s="3">
        <f>Table1[[#This Row],[Unit Price]]*Table1[[#This Row],[Units Sold]]</f>
        <v>8061594.8399999989</v>
      </c>
      <c r="G88" s="4">
        <v>45368</v>
      </c>
      <c r="H88" s="3" t="s">
        <v>15</v>
      </c>
      <c r="I88" s="6" t="s">
        <v>215</v>
      </c>
    </row>
    <row r="89" spans="1:9" x14ac:dyDescent="0.3">
      <c r="A89" s="5" t="s">
        <v>216</v>
      </c>
      <c r="B89" s="3" t="s">
        <v>115</v>
      </c>
      <c r="C89" s="3" t="s">
        <v>1089</v>
      </c>
      <c r="D89" s="3">
        <v>65</v>
      </c>
      <c r="E89" s="3">
        <v>163185.67000000001</v>
      </c>
      <c r="F89" s="3">
        <v>10607068.550000001</v>
      </c>
      <c r="G89" s="4">
        <v>45844</v>
      </c>
      <c r="H89" s="3" t="s">
        <v>51</v>
      </c>
      <c r="I89" s="6" t="s">
        <v>217</v>
      </c>
    </row>
    <row r="90" spans="1:9" x14ac:dyDescent="0.3">
      <c r="A90" s="5" t="s">
        <v>218</v>
      </c>
      <c r="B90" s="3" t="s">
        <v>18</v>
      </c>
      <c r="C90" s="3" t="s">
        <v>29</v>
      </c>
      <c r="D90" s="3">
        <v>46.8</v>
      </c>
      <c r="E90" s="3">
        <v>268780.26</v>
      </c>
      <c r="F90" s="3">
        <f>Table1[[#This Row],[Unit Price]]*Table1[[#This Row],[Units Sold]]</f>
        <v>12578916.168</v>
      </c>
      <c r="G90" s="4">
        <v>45668</v>
      </c>
      <c r="H90" s="3" t="s">
        <v>30</v>
      </c>
      <c r="I90" s="6" t="s">
        <v>219</v>
      </c>
    </row>
    <row r="91" spans="1:9" x14ac:dyDescent="0.3">
      <c r="A91" s="5" t="s">
        <v>220</v>
      </c>
      <c r="B91" s="3" t="s">
        <v>39</v>
      </c>
      <c r="C91" s="3" t="s">
        <v>1089</v>
      </c>
      <c r="D91" s="3">
        <v>62</v>
      </c>
      <c r="E91" s="3">
        <v>118662.47</v>
      </c>
      <c r="F91" s="3">
        <v>7357073.1399999997</v>
      </c>
      <c r="G91" s="4">
        <v>45293</v>
      </c>
      <c r="H91" s="3" t="s">
        <v>1090</v>
      </c>
      <c r="I91" s="6" t="s">
        <v>221</v>
      </c>
    </row>
    <row r="92" spans="1:9" x14ac:dyDescent="0.3">
      <c r="A92" s="5" t="s">
        <v>222</v>
      </c>
      <c r="B92" s="3" t="s">
        <v>57</v>
      </c>
      <c r="C92" s="3" t="s">
        <v>19</v>
      </c>
      <c r="D92" s="3">
        <v>46.8</v>
      </c>
      <c r="E92" s="3">
        <v>155703.70000000001</v>
      </c>
      <c r="F92" s="3">
        <f>Table1[[#This Row],[Unit Price]]*Table1[[#This Row],[Units Sold]]</f>
        <v>7286933.1600000001</v>
      </c>
      <c r="G92" s="4">
        <v>45386</v>
      </c>
      <c r="H92" s="3" t="s">
        <v>1090</v>
      </c>
      <c r="I92" s="6" t="s">
        <v>223</v>
      </c>
    </row>
    <row r="93" spans="1:9" x14ac:dyDescent="0.3">
      <c r="A93" s="5" t="s">
        <v>1085</v>
      </c>
      <c r="B93" s="3" t="s">
        <v>87</v>
      </c>
      <c r="C93" s="3" t="s">
        <v>50</v>
      </c>
      <c r="D93" s="3">
        <v>46.8</v>
      </c>
      <c r="E93" s="3">
        <v>103867.84</v>
      </c>
      <c r="F93" s="3">
        <f>Table1[[#This Row],[Unit Price]]*Table1[[#This Row],[Units Sold]]</f>
        <v>4861014.9119999995</v>
      </c>
      <c r="G93" s="4">
        <v>45848</v>
      </c>
      <c r="H93" s="3" t="s">
        <v>51</v>
      </c>
      <c r="I93" s="7" t="s">
        <v>224</v>
      </c>
    </row>
    <row r="94" spans="1:9" x14ac:dyDescent="0.3">
      <c r="A94" s="5" t="s">
        <v>225</v>
      </c>
      <c r="B94" s="3" t="s">
        <v>97</v>
      </c>
      <c r="C94" s="3" t="s">
        <v>29</v>
      </c>
      <c r="D94" s="3">
        <v>46.8</v>
      </c>
      <c r="E94" s="3">
        <v>232032.77</v>
      </c>
      <c r="F94" s="3">
        <f>Table1[[#This Row],[Unit Price]]*Table1[[#This Row],[Units Sold]]</f>
        <v>10859133.635999998</v>
      </c>
      <c r="G94" s="4">
        <v>45521</v>
      </c>
      <c r="H94" s="3" t="s">
        <v>30</v>
      </c>
      <c r="I94" s="6" t="s">
        <v>226</v>
      </c>
    </row>
    <row r="95" spans="1:9" x14ac:dyDescent="0.3">
      <c r="A95" s="5" t="s">
        <v>227</v>
      </c>
      <c r="B95" s="3" t="s">
        <v>57</v>
      </c>
      <c r="C95" s="3" t="s">
        <v>19</v>
      </c>
      <c r="D95" s="3">
        <v>74</v>
      </c>
      <c r="E95" s="3">
        <v>44369.599999999999</v>
      </c>
      <c r="F95" s="3">
        <v>3283350.4</v>
      </c>
      <c r="G95" s="4">
        <v>45813</v>
      </c>
      <c r="H95" s="3" t="s">
        <v>11</v>
      </c>
      <c r="I95" s="6" t="s">
        <v>228</v>
      </c>
    </row>
    <row r="96" spans="1:9" x14ac:dyDescent="0.3">
      <c r="A96" s="5" t="s">
        <v>229</v>
      </c>
      <c r="B96" s="3" t="s">
        <v>230</v>
      </c>
      <c r="C96" s="3" t="s">
        <v>25</v>
      </c>
      <c r="D96" s="3">
        <v>46.8</v>
      </c>
      <c r="E96" s="3">
        <v>13098.91</v>
      </c>
      <c r="F96" s="3">
        <f>Table1[[#This Row],[Unit Price]]*Table1[[#This Row],[Units Sold]]</f>
        <v>613028.98800000001</v>
      </c>
      <c r="G96" s="4">
        <v>45338</v>
      </c>
      <c r="H96" s="3" t="s">
        <v>51</v>
      </c>
      <c r="I96" s="6" t="s">
        <v>231</v>
      </c>
    </row>
    <row r="97" spans="1:9" x14ac:dyDescent="0.3">
      <c r="A97" s="5" t="s">
        <v>232</v>
      </c>
      <c r="B97" s="3" t="s">
        <v>115</v>
      </c>
      <c r="C97" s="3" t="s">
        <v>59</v>
      </c>
      <c r="D97" s="3">
        <v>46.8</v>
      </c>
      <c r="E97" s="3">
        <v>286616.46000000002</v>
      </c>
      <c r="F97" s="3">
        <f>Table1[[#This Row],[Unit Price]]*Table1[[#This Row],[Units Sold]]</f>
        <v>13413650.328</v>
      </c>
      <c r="G97" s="4">
        <v>45775</v>
      </c>
      <c r="H97" s="3" t="s">
        <v>15</v>
      </c>
      <c r="I97" s="6" t="s">
        <v>233</v>
      </c>
    </row>
    <row r="98" spans="1:9" x14ac:dyDescent="0.3">
      <c r="A98" s="5" t="s">
        <v>234</v>
      </c>
      <c r="B98" s="3" t="s">
        <v>83</v>
      </c>
      <c r="C98" s="3" t="s">
        <v>1089</v>
      </c>
      <c r="D98" s="3">
        <v>46.8</v>
      </c>
      <c r="E98" s="3">
        <v>24169.32</v>
      </c>
      <c r="F98" s="3">
        <f>Table1[[#This Row],[Unit Price]]*Table1[[#This Row],[Units Sold]]</f>
        <v>1131124.176</v>
      </c>
      <c r="G98" s="4">
        <v>45179</v>
      </c>
      <c r="H98" s="3" t="s">
        <v>11</v>
      </c>
      <c r="I98" s="6" t="s">
        <v>236</v>
      </c>
    </row>
    <row r="99" spans="1:9" x14ac:dyDescent="0.3">
      <c r="A99" s="5" t="s">
        <v>237</v>
      </c>
      <c r="B99" s="3" t="s">
        <v>1086</v>
      </c>
      <c r="C99" s="3" t="s">
        <v>50</v>
      </c>
      <c r="D99" s="3">
        <v>46.8</v>
      </c>
      <c r="E99" s="3">
        <v>277240.88</v>
      </c>
      <c r="F99" s="3">
        <f>Table1[[#This Row],[Unit Price]]*Table1[[#This Row],[Units Sold]]</f>
        <v>12974873.184</v>
      </c>
      <c r="G99" s="4">
        <v>45312</v>
      </c>
      <c r="H99" s="3" t="s">
        <v>30</v>
      </c>
      <c r="I99" s="6" t="s">
        <v>238</v>
      </c>
    </row>
    <row r="100" spans="1:9" x14ac:dyDescent="0.3">
      <c r="A100" s="5" t="s">
        <v>239</v>
      </c>
      <c r="B100" s="3" t="s">
        <v>18</v>
      </c>
      <c r="C100" s="3" t="s">
        <v>1089</v>
      </c>
      <c r="D100" s="3">
        <v>46.8</v>
      </c>
      <c r="E100" s="3">
        <v>196963.63</v>
      </c>
      <c r="F100" s="3">
        <f>Table1[[#This Row],[Unit Price]]*Table1[[#This Row],[Units Sold]]</f>
        <v>9217897.8839999996</v>
      </c>
      <c r="G100" s="4">
        <v>45270</v>
      </c>
      <c r="H100" s="3" t="s">
        <v>15</v>
      </c>
      <c r="I100" s="6" t="s">
        <v>1091</v>
      </c>
    </row>
    <row r="101" spans="1:9" x14ac:dyDescent="0.3">
      <c r="A101" s="5" t="s">
        <v>240</v>
      </c>
      <c r="B101" s="3" t="s">
        <v>1086</v>
      </c>
      <c r="C101" s="3" t="s">
        <v>25</v>
      </c>
      <c r="D101" s="3">
        <v>46.8</v>
      </c>
      <c r="E101" s="3">
        <v>224327.88</v>
      </c>
      <c r="F101" s="3">
        <f>Table1[[#This Row],[Unit Price]]*Table1[[#This Row],[Units Sold]]</f>
        <v>10498544.784</v>
      </c>
      <c r="G101" s="4">
        <v>45611</v>
      </c>
      <c r="H101" s="3" t="s">
        <v>1090</v>
      </c>
      <c r="I101" s="6" t="s">
        <v>242</v>
      </c>
    </row>
    <row r="102" spans="1:9" x14ac:dyDescent="0.3">
      <c r="A102" s="5" t="s">
        <v>243</v>
      </c>
      <c r="B102" s="3" t="s">
        <v>22</v>
      </c>
      <c r="C102" s="3" t="s">
        <v>50</v>
      </c>
      <c r="D102" s="3">
        <v>35</v>
      </c>
      <c r="E102" s="3">
        <v>155703.70000000001</v>
      </c>
      <c r="F102" s="3">
        <f>Table1[[#This Row],[Unit Price]]*Table1[[#This Row],[Units Sold]]</f>
        <v>5449629.5</v>
      </c>
      <c r="G102" s="4">
        <v>45545</v>
      </c>
      <c r="H102" s="3" t="s">
        <v>30</v>
      </c>
      <c r="I102" s="6" t="s">
        <v>244</v>
      </c>
    </row>
    <row r="103" spans="1:9" x14ac:dyDescent="0.3">
      <c r="A103" s="5" t="s">
        <v>245</v>
      </c>
      <c r="B103" s="3" t="s">
        <v>36</v>
      </c>
      <c r="C103" s="3" t="s">
        <v>98</v>
      </c>
      <c r="D103" s="3">
        <v>46.8</v>
      </c>
      <c r="E103" s="3">
        <v>64589.05</v>
      </c>
      <c r="F103" s="3">
        <f>Table1[[#This Row],[Unit Price]]*Table1[[#This Row],[Units Sold]]</f>
        <v>3022767.54</v>
      </c>
      <c r="G103" s="4">
        <v>45331</v>
      </c>
      <c r="H103" s="3" t="s">
        <v>15</v>
      </c>
      <c r="I103" s="6" t="s">
        <v>246</v>
      </c>
    </row>
    <row r="104" spans="1:9" x14ac:dyDescent="0.3">
      <c r="A104" s="5" t="s">
        <v>247</v>
      </c>
      <c r="B104" s="3" t="s">
        <v>36</v>
      </c>
      <c r="C104" s="3" t="s">
        <v>25</v>
      </c>
      <c r="D104" s="3">
        <v>46.8</v>
      </c>
      <c r="E104" s="3">
        <v>248471.54</v>
      </c>
      <c r="F104" s="3">
        <f>Table1[[#This Row],[Unit Price]]*Table1[[#This Row],[Units Sold]]</f>
        <v>11628468.071999999</v>
      </c>
      <c r="G104" s="4">
        <v>45215</v>
      </c>
      <c r="H104" s="3" t="s">
        <v>30</v>
      </c>
      <c r="I104" s="6" t="s">
        <v>248</v>
      </c>
    </row>
    <row r="105" spans="1:9" x14ac:dyDescent="0.3">
      <c r="A105" s="5" t="s">
        <v>249</v>
      </c>
      <c r="B105" s="3" t="s">
        <v>18</v>
      </c>
      <c r="C105" s="3" t="s">
        <v>76</v>
      </c>
      <c r="D105" s="3">
        <v>46.8</v>
      </c>
      <c r="E105" s="3">
        <v>81704.25</v>
      </c>
      <c r="F105" s="3">
        <f>Table1[[#This Row],[Unit Price]]*Table1[[#This Row],[Units Sold]]</f>
        <v>3823758.9</v>
      </c>
      <c r="G105" s="4">
        <v>45603</v>
      </c>
      <c r="H105" s="3" t="s">
        <v>15</v>
      </c>
      <c r="I105" s="6" t="s">
        <v>250</v>
      </c>
    </row>
    <row r="106" spans="1:9" x14ac:dyDescent="0.3">
      <c r="A106" s="5" t="s">
        <v>1085</v>
      </c>
      <c r="B106" s="3" t="s">
        <v>87</v>
      </c>
      <c r="C106" s="3" t="s">
        <v>76</v>
      </c>
      <c r="D106" s="3">
        <v>1</v>
      </c>
      <c r="E106" s="3">
        <v>168824.4</v>
      </c>
      <c r="F106" s="3">
        <v>168824.4</v>
      </c>
      <c r="G106" s="4">
        <v>45353</v>
      </c>
      <c r="H106" s="3" t="s">
        <v>30</v>
      </c>
      <c r="I106" s="6" t="s">
        <v>251</v>
      </c>
    </row>
    <row r="107" spans="1:9" x14ac:dyDescent="0.3">
      <c r="A107" s="5" t="s">
        <v>252</v>
      </c>
      <c r="B107" s="3" t="s">
        <v>46</v>
      </c>
      <c r="C107" s="3" t="s">
        <v>29</v>
      </c>
      <c r="D107" s="3">
        <v>46.8</v>
      </c>
      <c r="E107" s="3">
        <v>81850.63</v>
      </c>
      <c r="F107" s="3">
        <f>Table1[[#This Row],[Unit Price]]*Table1[[#This Row],[Units Sold]]</f>
        <v>3830609.4840000002</v>
      </c>
      <c r="G107" s="4">
        <v>45595</v>
      </c>
      <c r="H107" s="3" t="s">
        <v>1090</v>
      </c>
      <c r="I107" s="6" t="s">
        <v>253</v>
      </c>
    </row>
    <row r="108" spans="1:9" x14ac:dyDescent="0.3">
      <c r="A108" s="5" t="s">
        <v>254</v>
      </c>
      <c r="B108" s="3" t="s">
        <v>87</v>
      </c>
      <c r="C108" s="3" t="s">
        <v>50</v>
      </c>
      <c r="D108" s="3">
        <v>46.8</v>
      </c>
      <c r="E108" s="3">
        <v>33213.360000000001</v>
      </c>
      <c r="F108" s="3">
        <f>Table1[[#This Row],[Unit Price]]*Table1[[#This Row],[Units Sold]]</f>
        <v>1554385.2479999999</v>
      </c>
      <c r="G108" s="4">
        <v>45532</v>
      </c>
      <c r="H108" s="3" t="s">
        <v>51</v>
      </c>
      <c r="I108" s="6" t="s">
        <v>255</v>
      </c>
    </row>
    <row r="109" spans="1:9" x14ac:dyDescent="0.3">
      <c r="A109" s="5" t="s">
        <v>256</v>
      </c>
      <c r="B109" s="3" t="s">
        <v>115</v>
      </c>
      <c r="C109" s="3" t="s">
        <v>29</v>
      </c>
      <c r="D109" s="3">
        <v>9</v>
      </c>
      <c r="E109" s="3">
        <v>222396.85</v>
      </c>
      <c r="F109" s="3">
        <v>2001571.65</v>
      </c>
      <c r="G109" s="4">
        <v>45190</v>
      </c>
      <c r="H109" s="3" t="s">
        <v>15</v>
      </c>
      <c r="I109" s="6" t="s">
        <v>257</v>
      </c>
    </row>
    <row r="110" spans="1:9" x14ac:dyDescent="0.3">
      <c r="A110" s="5" t="s">
        <v>258</v>
      </c>
      <c r="B110" s="3" t="s">
        <v>119</v>
      </c>
      <c r="C110" s="3" t="s">
        <v>50</v>
      </c>
      <c r="D110" s="3">
        <v>46.8</v>
      </c>
      <c r="E110" s="3">
        <v>72164.98</v>
      </c>
      <c r="F110" s="3">
        <f>Table1[[#This Row],[Unit Price]]*Table1[[#This Row],[Units Sold]]</f>
        <v>3377321.0639999998</v>
      </c>
      <c r="G110" s="4">
        <v>45508</v>
      </c>
      <c r="H110" s="3" t="s">
        <v>15</v>
      </c>
      <c r="I110" s="6" t="s">
        <v>260</v>
      </c>
    </row>
    <row r="111" spans="1:9" x14ac:dyDescent="0.3">
      <c r="A111" s="5" t="s">
        <v>261</v>
      </c>
      <c r="B111" s="3" t="s">
        <v>22</v>
      </c>
      <c r="C111" s="3" t="s">
        <v>25</v>
      </c>
      <c r="D111" s="3">
        <v>4</v>
      </c>
      <c r="E111" s="3">
        <v>15704.25</v>
      </c>
      <c r="F111" s="3">
        <v>62817</v>
      </c>
      <c r="G111" s="4">
        <v>45615</v>
      </c>
      <c r="H111" s="3" t="s">
        <v>1090</v>
      </c>
      <c r="I111" s="6" t="s">
        <v>262</v>
      </c>
    </row>
    <row r="112" spans="1:9" x14ac:dyDescent="0.3">
      <c r="A112" s="5" t="s">
        <v>263</v>
      </c>
      <c r="B112" s="3" t="s">
        <v>1086</v>
      </c>
      <c r="C112" s="3" t="s">
        <v>50</v>
      </c>
      <c r="D112" s="3">
        <v>46.8</v>
      </c>
      <c r="E112" s="3">
        <v>155703.70000000001</v>
      </c>
      <c r="F112" s="3">
        <f>Table1[[#This Row],[Unit Price]]*Table1[[#This Row],[Units Sold]]</f>
        <v>7286933.1600000001</v>
      </c>
      <c r="G112" s="4">
        <v>45248</v>
      </c>
      <c r="H112" s="3" t="s">
        <v>51</v>
      </c>
      <c r="I112" s="6" t="s">
        <v>264</v>
      </c>
    </row>
    <row r="113" spans="1:12" x14ac:dyDescent="0.3">
      <c r="A113" s="5" t="s">
        <v>265</v>
      </c>
      <c r="B113" s="3" t="s">
        <v>62</v>
      </c>
      <c r="C113" s="3" t="s">
        <v>98</v>
      </c>
      <c r="D113" s="3">
        <v>46.8</v>
      </c>
      <c r="E113" s="3">
        <v>271602.67</v>
      </c>
      <c r="F113" s="3">
        <f>Table1[[#This Row],[Unit Price]]*Table1[[#This Row],[Units Sold]]</f>
        <v>12711004.955999998</v>
      </c>
      <c r="G113" s="4">
        <v>45577</v>
      </c>
      <c r="H113" s="3" t="s">
        <v>30</v>
      </c>
      <c r="I113" s="6" t="s">
        <v>266</v>
      </c>
    </row>
    <row r="114" spans="1:12" x14ac:dyDescent="0.3">
      <c r="A114" s="5" t="s">
        <v>267</v>
      </c>
      <c r="B114" s="3" t="s">
        <v>230</v>
      </c>
      <c r="C114" s="3" t="s">
        <v>59</v>
      </c>
      <c r="D114" s="3">
        <v>46.8</v>
      </c>
      <c r="E114" s="3">
        <v>68088.66</v>
      </c>
      <c r="F114" s="3">
        <f>Table1[[#This Row],[Unit Price]]*Table1[[#This Row],[Units Sold]]</f>
        <v>3186549.2880000002</v>
      </c>
      <c r="G114" s="4">
        <v>45569</v>
      </c>
      <c r="H114" s="3" t="s">
        <v>15</v>
      </c>
      <c r="I114" s="6" t="s">
        <v>1091</v>
      </c>
    </row>
    <row r="115" spans="1:12" x14ac:dyDescent="0.3">
      <c r="A115" s="5" t="s">
        <v>268</v>
      </c>
      <c r="B115" s="3" t="s">
        <v>39</v>
      </c>
      <c r="C115" s="3" t="s">
        <v>76</v>
      </c>
      <c r="D115" s="3">
        <v>44</v>
      </c>
      <c r="E115" s="3">
        <v>70234.55</v>
      </c>
      <c r="F115" s="3">
        <v>3090320.2</v>
      </c>
      <c r="G115" s="4">
        <v>45237</v>
      </c>
      <c r="H115" s="3" t="s">
        <v>51</v>
      </c>
      <c r="I115" s="6" t="s">
        <v>269</v>
      </c>
    </row>
    <row r="116" spans="1:12" x14ac:dyDescent="0.3">
      <c r="A116" s="5" t="s">
        <v>270</v>
      </c>
      <c r="B116" s="3" t="s">
        <v>49</v>
      </c>
      <c r="C116" s="3" t="s">
        <v>59</v>
      </c>
      <c r="D116" s="3">
        <v>46.8</v>
      </c>
      <c r="E116" s="3">
        <v>30509.29</v>
      </c>
      <c r="F116" s="3">
        <f>Table1[[#This Row],[Unit Price]]*Table1[[#This Row],[Units Sold]]</f>
        <v>1427834.7719999999</v>
      </c>
      <c r="G116" s="4">
        <v>45250</v>
      </c>
      <c r="H116" s="3" t="s">
        <v>30</v>
      </c>
      <c r="I116" s="6" t="s">
        <v>271</v>
      </c>
    </row>
    <row r="117" spans="1:12" x14ac:dyDescent="0.3">
      <c r="A117" s="5" t="s">
        <v>272</v>
      </c>
      <c r="B117" s="3" t="s">
        <v>33</v>
      </c>
      <c r="C117" s="3" t="s">
        <v>50</v>
      </c>
      <c r="D117" s="3">
        <v>46.8</v>
      </c>
      <c r="E117" s="3">
        <v>99422.94</v>
      </c>
      <c r="F117" s="3">
        <f>Table1[[#This Row],[Unit Price]]*Table1[[#This Row],[Units Sold]]</f>
        <v>4652993.5920000002</v>
      </c>
      <c r="G117" s="4">
        <v>45629</v>
      </c>
      <c r="H117" s="3" t="s">
        <v>15</v>
      </c>
      <c r="I117" s="6" t="s">
        <v>273</v>
      </c>
    </row>
    <row r="118" spans="1:12" x14ac:dyDescent="0.3">
      <c r="A118" s="5" t="s">
        <v>274</v>
      </c>
      <c r="B118" s="3" t="s">
        <v>1086</v>
      </c>
      <c r="C118" s="3" t="s">
        <v>59</v>
      </c>
      <c r="D118" s="3">
        <v>46.8</v>
      </c>
      <c r="E118" s="3">
        <v>141984.97</v>
      </c>
      <c r="F118" s="3">
        <f>Table1[[#This Row],[Unit Price]]*Table1[[#This Row],[Units Sold]]</f>
        <v>6644896.5959999999</v>
      </c>
      <c r="G118" s="4">
        <v>45603</v>
      </c>
      <c r="H118" s="3" t="s">
        <v>15</v>
      </c>
      <c r="I118" s="6" t="s">
        <v>275</v>
      </c>
    </row>
    <row r="119" spans="1:12" x14ac:dyDescent="0.3">
      <c r="A119" s="5" t="s">
        <v>1085</v>
      </c>
      <c r="B119" s="3" t="s">
        <v>93</v>
      </c>
      <c r="C119" s="3" t="s">
        <v>98</v>
      </c>
      <c r="D119" s="3">
        <v>77</v>
      </c>
      <c r="E119" s="3">
        <v>204517</v>
      </c>
      <c r="F119" s="3">
        <v>15747809</v>
      </c>
      <c r="G119" s="4">
        <v>45677</v>
      </c>
      <c r="H119" s="3" t="s">
        <v>30</v>
      </c>
      <c r="I119" s="6" t="s">
        <v>277</v>
      </c>
    </row>
    <row r="120" spans="1:12" x14ac:dyDescent="0.3">
      <c r="A120" s="5" t="s">
        <v>278</v>
      </c>
      <c r="B120" s="3" t="s">
        <v>46</v>
      </c>
      <c r="C120" s="3" t="s">
        <v>76</v>
      </c>
      <c r="D120" s="3">
        <v>7</v>
      </c>
      <c r="E120" s="3">
        <v>41671.379999999997</v>
      </c>
      <c r="F120" s="3">
        <v>291699.65999999997</v>
      </c>
      <c r="G120" s="4">
        <v>45818</v>
      </c>
      <c r="H120" s="3" t="s">
        <v>1090</v>
      </c>
      <c r="I120" s="6" t="s">
        <v>279</v>
      </c>
    </row>
    <row r="121" spans="1:12" x14ac:dyDescent="0.3">
      <c r="A121" s="5" t="s">
        <v>280</v>
      </c>
      <c r="B121" s="3" t="s">
        <v>66</v>
      </c>
      <c r="C121" s="3" t="s">
        <v>19</v>
      </c>
      <c r="D121" s="3">
        <v>46.8</v>
      </c>
      <c r="E121" s="3">
        <v>289373.37</v>
      </c>
      <c r="F121" s="3">
        <f>Table1[[#This Row],[Unit Price]]*Table1[[#This Row],[Units Sold]]</f>
        <v>13542673.715999998</v>
      </c>
      <c r="G121" s="4">
        <v>45588</v>
      </c>
      <c r="H121" s="3" t="s">
        <v>51</v>
      </c>
      <c r="I121" s="6" t="s">
        <v>281</v>
      </c>
    </row>
    <row r="122" spans="1:12" x14ac:dyDescent="0.3">
      <c r="A122" s="5" t="s">
        <v>282</v>
      </c>
      <c r="B122" s="3" t="s">
        <v>39</v>
      </c>
      <c r="C122" s="3" t="s">
        <v>50</v>
      </c>
      <c r="D122" s="3">
        <v>46.8</v>
      </c>
      <c r="E122" s="3">
        <v>155703.70000000001</v>
      </c>
      <c r="F122" s="3">
        <f>Table1[[#This Row],[Unit Price]]*Table1[[#This Row],[Units Sold]]</f>
        <v>7286933.1600000001</v>
      </c>
      <c r="G122" s="4">
        <v>45380</v>
      </c>
      <c r="H122" s="3" t="s">
        <v>15</v>
      </c>
      <c r="I122" s="6" t="s">
        <v>283</v>
      </c>
    </row>
    <row r="123" spans="1:12" x14ac:dyDescent="0.3">
      <c r="A123" s="5" t="s">
        <v>284</v>
      </c>
      <c r="B123" s="3" t="s">
        <v>115</v>
      </c>
      <c r="C123" s="3" t="s">
        <v>76</v>
      </c>
      <c r="D123" s="3">
        <v>46.8</v>
      </c>
      <c r="E123" s="3">
        <v>293384.26</v>
      </c>
      <c r="F123" s="3">
        <f>Table1[[#This Row],[Unit Price]]*Table1[[#This Row],[Units Sold]]</f>
        <v>13730383.367999999</v>
      </c>
      <c r="G123" s="4">
        <v>45772</v>
      </c>
      <c r="H123" s="3" t="s">
        <v>30</v>
      </c>
      <c r="I123" s="6" t="s">
        <v>285</v>
      </c>
    </row>
    <row r="124" spans="1:12" x14ac:dyDescent="0.3">
      <c r="A124" s="5" t="s">
        <v>286</v>
      </c>
      <c r="B124" s="3" t="s">
        <v>115</v>
      </c>
      <c r="C124" s="3" t="s">
        <v>59</v>
      </c>
      <c r="D124" s="3">
        <v>46.8</v>
      </c>
      <c r="E124" s="3">
        <v>47803.35</v>
      </c>
      <c r="F124" s="3">
        <f>Table1[[#This Row],[Unit Price]]*Table1[[#This Row],[Units Sold]]</f>
        <v>2237196.7799999998</v>
      </c>
      <c r="G124" s="4">
        <v>45835</v>
      </c>
      <c r="H124" s="3" t="s">
        <v>15</v>
      </c>
      <c r="I124" s="6" t="s">
        <v>287</v>
      </c>
    </row>
    <row r="125" spans="1:12" x14ac:dyDescent="0.3">
      <c r="A125" s="5" t="s">
        <v>288</v>
      </c>
      <c r="B125" s="3" t="s">
        <v>66</v>
      </c>
      <c r="C125" s="3" t="s">
        <v>19</v>
      </c>
      <c r="D125" s="3">
        <v>46.8</v>
      </c>
      <c r="E125" s="3">
        <v>196041.39</v>
      </c>
      <c r="F125" s="3">
        <f>Table1[[#This Row],[Unit Price]]*Table1[[#This Row],[Units Sold]]</f>
        <v>9174737.0519999992</v>
      </c>
      <c r="G125" s="4">
        <v>45555</v>
      </c>
      <c r="H125" s="3" t="s">
        <v>30</v>
      </c>
      <c r="I125" s="6" t="s">
        <v>289</v>
      </c>
      <c r="L125" s="3" t="str">
        <f>PROPER(B:B)</f>
        <v>Katsina</v>
      </c>
    </row>
    <row r="126" spans="1:12" x14ac:dyDescent="0.3">
      <c r="A126" s="5" t="s">
        <v>290</v>
      </c>
      <c r="B126" s="3" t="s">
        <v>83</v>
      </c>
      <c r="C126" s="3" t="s">
        <v>1089</v>
      </c>
      <c r="D126" s="3">
        <v>46.8</v>
      </c>
      <c r="E126" s="3">
        <v>264253.90999999997</v>
      </c>
      <c r="F126" s="3">
        <f>Table1[[#This Row],[Unit Price]]*Table1[[#This Row],[Units Sold]]</f>
        <v>12367082.987999998</v>
      </c>
      <c r="G126" s="4">
        <v>45149</v>
      </c>
      <c r="H126" s="3" t="s">
        <v>15</v>
      </c>
      <c r="I126" s="6" t="s">
        <v>291</v>
      </c>
    </row>
    <row r="127" spans="1:12" x14ac:dyDescent="0.3">
      <c r="A127" s="5" t="s">
        <v>292</v>
      </c>
      <c r="B127" s="3" t="s">
        <v>62</v>
      </c>
      <c r="C127" s="3" t="s">
        <v>76</v>
      </c>
      <c r="D127" s="3">
        <v>46.8</v>
      </c>
      <c r="E127" s="3">
        <v>142972.04</v>
      </c>
      <c r="F127" s="3">
        <f>Table1[[#This Row],[Unit Price]]*Table1[[#This Row],[Units Sold]]</f>
        <v>6691091.4720000001</v>
      </c>
      <c r="G127" s="4">
        <v>45758</v>
      </c>
      <c r="H127" s="3" t="s">
        <v>11</v>
      </c>
      <c r="I127" s="6" t="s">
        <v>293</v>
      </c>
    </row>
    <row r="128" spans="1:12" x14ac:dyDescent="0.3">
      <c r="A128" s="5" t="s">
        <v>294</v>
      </c>
      <c r="B128" s="3" t="s">
        <v>18</v>
      </c>
      <c r="C128" s="3" t="s">
        <v>1089</v>
      </c>
      <c r="D128" s="3">
        <v>46.8</v>
      </c>
      <c r="E128" s="3">
        <v>195336.34</v>
      </c>
      <c r="F128" s="3">
        <f>Table1[[#This Row],[Unit Price]]*Table1[[#This Row],[Units Sold]]</f>
        <v>9141740.7119999994</v>
      </c>
      <c r="G128" s="4">
        <v>45788</v>
      </c>
      <c r="H128" s="3" t="s">
        <v>1090</v>
      </c>
      <c r="I128" s="6" t="s">
        <v>1091</v>
      </c>
    </row>
    <row r="129" spans="1:9" x14ac:dyDescent="0.3">
      <c r="A129" s="5" t="s">
        <v>295</v>
      </c>
      <c r="B129" s="3" t="s">
        <v>36</v>
      </c>
      <c r="C129" s="3" t="s">
        <v>25</v>
      </c>
      <c r="D129" s="3">
        <v>46.8</v>
      </c>
      <c r="E129" s="3">
        <v>226895.35999999999</v>
      </c>
      <c r="F129" s="3">
        <f>Table1[[#This Row],[Unit Price]]*Table1[[#This Row],[Units Sold]]</f>
        <v>10618702.847999999</v>
      </c>
      <c r="G129" s="4">
        <v>45140</v>
      </c>
      <c r="H129" s="3" t="s">
        <v>51</v>
      </c>
      <c r="I129" s="6" t="s">
        <v>296</v>
      </c>
    </row>
    <row r="130" spans="1:9" x14ac:dyDescent="0.3">
      <c r="A130" s="5" t="s">
        <v>297</v>
      </c>
      <c r="B130" s="3" t="s">
        <v>13</v>
      </c>
      <c r="C130" s="3" t="s">
        <v>19</v>
      </c>
      <c r="D130" s="3">
        <v>56</v>
      </c>
      <c r="E130" s="3">
        <v>86529.89</v>
      </c>
      <c r="F130" s="3">
        <v>4845673.84</v>
      </c>
      <c r="G130" s="4">
        <v>45181</v>
      </c>
      <c r="H130" s="3" t="s">
        <v>1090</v>
      </c>
      <c r="I130" s="6" t="s">
        <v>298</v>
      </c>
    </row>
    <row r="131" spans="1:9" x14ac:dyDescent="0.3">
      <c r="A131" s="5" t="s">
        <v>299</v>
      </c>
      <c r="B131" s="3" t="s">
        <v>33</v>
      </c>
      <c r="C131" s="3" t="s">
        <v>19</v>
      </c>
      <c r="D131" s="3">
        <v>46.8</v>
      </c>
      <c r="E131" s="3">
        <v>85981.89</v>
      </c>
      <c r="F131" s="3">
        <f>Table1[[#This Row],[Unit Price]]*Table1[[#This Row],[Units Sold]]</f>
        <v>4023952.4519999996</v>
      </c>
      <c r="G131" s="4">
        <v>45153</v>
      </c>
      <c r="H131" s="3" t="s">
        <v>1090</v>
      </c>
      <c r="I131" s="6" t="s">
        <v>300</v>
      </c>
    </row>
    <row r="132" spans="1:9" x14ac:dyDescent="0.3">
      <c r="A132" s="5" t="s">
        <v>1085</v>
      </c>
      <c r="B132" s="3" t="s">
        <v>36</v>
      </c>
      <c r="C132" s="3" t="s">
        <v>76</v>
      </c>
      <c r="D132" s="3">
        <v>46.8</v>
      </c>
      <c r="E132" s="3">
        <v>155703.70000000001</v>
      </c>
      <c r="F132" s="3">
        <f>Table1[[#This Row],[Unit Price]]*Table1[[#This Row],[Units Sold]]</f>
        <v>7286933.1600000001</v>
      </c>
      <c r="G132" s="4">
        <v>45616</v>
      </c>
      <c r="H132" s="3" t="s">
        <v>51</v>
      </c>
      <c r="I132" s="6" t="s">
        <v>301</v>
      </c>
    </row>
    <row r="133" spans="1:9" x14ac:dyDescent="0.3">
      <c r="A133" s="5" t="s">
        <v>302</v>
      </c>
      <c r="B133" s="3" t="s">
        <v>18</v>
      </c>
      <c r="C133" s="3" t="s">
        <v>25</v>
      </c>
      <c r="D133" s="3">
        <v>46.8</v>
      </c>
      <c r="E133" s="3">
        <v>18219.189999999999</v>
      </c>
      <c r="F133" s="3">
        <f>Table1[[#This Row],[Unit Price]]*Table1[[#This Row],[Units Sold]]</f>
        <v>852658.09199999983</v>
      </c>
      <c r="G133" s="4">
        <v>45716</v>
      </c>
      <c r="H133" s="3" t="s">
        <v>1090</v>
      </c>
      <c r="I133" s="6" t="s">
        <v>303</v>
      </c>
    </row>
    <row r="134" spans="1:9" x14ac:dyDescent="0.3">
      <c r="A134" s="5" t="s">
        <v>304</v>
      </c>
      <c r="B134" s="3" t="s">
        <v>97</v>
      </c>
      <c r="C134" s="3" t="s">
        <v>59</v>
      </c>
      <c r="D134" s="3">
        <v>46.8</v>
      </c>
      <c r="E134" s="3">
        <v>230733.14</v>
      </c>
      <c r="F134" s="3">
        <f>Table1[[#This Row],[Unit Price]]*Table1[[#This Row],[Units Sold]]</f>
        <v>10798310.952</v>
      </c>
      <c r="G134" s="4">
        <v>45565</v>
      </c>
      <c r="H134" s="3" t="s">
        <v>11</v>
      </c>
      <c r="I134" s="6" t="s">
        <v>305</v>
      </c>
    </row>
    <row r="135" spans="1:9" x14ac:dyDescent="0.3">
      <c r="A135" s="5" t="s">
        <v>306</v>
      </c>
      <c r="B135" s="3" t="s">
        <v>33</v>
      </c>
      <c r="C135" s="3" t="s">
        <v>29</v>
      </c>
      <c r="D135" s="3">
        <v>6</v>
      </c>
      <c r="E135" s="3">
        <v>195863.47</v>
      </c>
      <c r="F135" s="3">
        <v>1175180.82</v>
      </c>
      <c r="G135" s="4">
        <v>45323</v>
      </c>
      <c r="H135" s="3" t="s">
        <v>30</v>
      </c>
      <c r="I135" s="6" t="s">
        <v>307</v>
      </c>
    </row>
    <row r="136" spans="1:9" x14ac:dyDescent="0.3">
      <c r="A136" s="5" t="s">
        <v>308</v>
      </c>
      <c r="B136" s="3" t="s">
        <v>143</v>
      </c>
      <c r="C136" s="3" t="s">
        <v>50</v>
      </c>
      <c r="D136" s="3">
        <v>46.8</v>
      </c>
      <c r="E136" s="3">
        <v>70049.95</v>
      </c>
      <c r="F136" s="3">
        <f>Table1[[#This Row],[Unit Price]]*Table1[[#This Row],[Units Sold]]</f>
        <v>3278337.6599999997</v>
      </c>
      <c r="G136" s="4">
        <v>45623</v>
      </c>
      <c r="H136" s="3" t="s">
        <v>51</v>
      </c>
      <c r="I136" s="6" t="s">
        <v>309</v>
      </c>
    </row>
    <row r="137" spans="1:9" x14ac:dyDescent="0.3">
      <c r="A137" s="5" t="s">
        <v>310</v>
      </c>
      <c r="B137" s="3" t="s">
        <v>46</v>
      </c>
      <c r="C137" s="3" t="s">
        <v>25</v>
      </c>
      <c r="D137" s="3">
        <v>8</v>
      </c>
      <c r="E137" s="3">
        <v>221736.61</v>
      </c>
      <c r="F137" s="3">
        <v>1773892.88</v>
      </c>
      <c r="G137" s="4">
        <v>45281</v>
      </c>
      <c r="H137" s="3" t="s">
        <v>30</v>
      </c>
      <c r="I137" s="6" t="s">
        <v>312</v>
      </c>
    </row>
    <row r="138" spans="1:9" x14ac:dyDescent="0.3">
      <c r="A138" s="5" t="s">
        <v>313</v>
      </c>
      <c r="B138" s="3" t="s">
        <v>93</v>
      </c>
      <c r="C138" s="3" t="s">
        <v>19</v>
      </c>
      <c r="D138" s="3">
        <v>46.8</v>
      </c>
      <c r="E138" s="3">
        <v>255174.76</v>
      </c>
      <c r="F138" s="3">
        <f>Table1[[#This Row],[Unit Price]]*Table1[[#This Row],[Units Sold]]</f>
        <v>11942178.767999999</v>
      </c>
      <c r="G138" s="4">
        <v>45713</v>
      </c>
      <c r="H138" s="3" t="s">
        <v>15</v>
      </c>
      <c r="I138" s="6" t="s">
        <v>314</v>
      </c>
    </row>
    <row r="139" spans="1:9" x14ac:dyDescent="0.3">
      <c r="A139" s="5" t="s">
        <v>315</v>
      </c>
      <c r="B139" s="3" t="s">
        <v>83</v>
      </c>
      <c r="C139" s="3" t="s">
        <v>29</v>
      </c>
      <c r="D139" s="3">
        <v>28</v>
      </c>
      <c r="E139" s="3">
        <v>11670.82</v>
      </c>
      <c r="F139" s="3">
        <v>326782.96000000002</v>
      </c>
      <c r="G139" s="4">
        <v>45562</v>
      </c>
      <c r="H139" s="3" t="s">
        <v>11</v>
      </c>
      <c r="I139" s="6" t="s">
        <v>316</v>
      </c>
    </row>
    <row r="140" spans="1:9" x14ac:dyDescent="0.3">
      <c r="A140" s="5" t="s">
        <v>317</v>
      </c>
      <c r="B140" s="3" t="s">
        <v>13</v>
      </c>
      <c r="C140" s="3" t="s">
        <v>19</v>
      </c>
      <c r="D140" s="3">
        <v>46.8</v>
      </c>
      <c r="E140" s="3">
        <v>276480.53000000003</v>
      </c>
      <c r="F140" s="3">
        <f>Table1[[#This Row],[Unit Price]]*Table1[[#This Row],[Units Sold]]</f>
        <v>12939288.804000001</v>
      </c>
      <c r="G140" s="4">
        <v>45441</v>
      </c>
      <c r="H140" s="3" t="s">
        <v>30</v>
      </c>
      <c r="I140" s="6" t="s">
        <v>318</v>
      </c>
    </row>
    <row r="141" spans="1:9" x14ac:dyDescent="0.3">
      <c r="A141" s="5" t="s">
        <v>319</v>
      </c>
      <c r="B141" s="3" t="s">
        <v>18</v>
      </c>
      <c r="C141" s="3" t="s">
        <v>76</v>
      </c>
      <c r="D141" s="3">
        <v>46.8</v>
      </c>
      <c r="E141" s="3">
        <v>125656.55</v>
      </c>
      <c r="F141" s="3">
        <f>Table1[[#This Row],[Unit Price]]*Table1[[#This Row],[Units Sold]]</f>
        <v>5880726.54</v>
      </c>
      <c r="G141" s="4">
        <v>45598</v>
      </c>
      <c r="H141" s="3" t="s">
        <v>30</v>
      </c>
      <c r="I141" s="6" t="s">
        <v>320</v>
      </c>
    </row>
    <row r="142" spans="1:9" x14ac:dyDescent="0.3">
      <c r="A142" s="5" t="s">
        <v>321</v>
      </c>
      <c r="B142" s="3" t="s">
        <v>62</v>
      </c>
      <c r="C142" s="3" t="s">
        <v>59</v>
      </c>
      <c r="D142" s="3">
        <v>16</v>
      </c>
      <c r="E142" s="3">
        <v>155703.70000000001</v>
      </c>
      <c r="F142" s="3">
        <f>Table1[[#This Row],[Unit Price]]*Table1[[#This Row],[Units Sold]]</f>
        <v>2491259.2000000002</v>
      </c>
      <c r="G142" s="4">
        <v>45614</v>
      </c>
      <c r="H142" s="3" t="s">
        <v>51</v>
      </c>
      <c r="I142" s="6" t="s">
        <v>1091</v>
      </c>
    </row>
    <row r="143" spans="1:9" x14ac:dyDescent="0.3">
      <c r="A143" s="5" t="s">
        <v>322</v>
      </c>
      <c r="B143" s="3" t="s">
        <v>93</v>
      </c>
      <c r="C143" s="3" t="s">
        <v>98</v>
      </c>
      <c r="D143" s="3">
        <v>46.8</v>
      </c>
      <c r="E143" s="3">
        <v>251362.66</v>
      </c>
      <c r="F143" s="3">
        <f>Table1[[#This Row],[Unit Price]]*Table1[[#This Row],[Units Sold]]</f>
        <v>11763772.488</v>
      </c>
      <c r="G143" s="4">
        <v>45141</v>
      </c>
      <c r="H143" s="3" t="s">
        <v>15</v>
      </c>
      <c r="I143" s="6" t="s">
        <v>323</v>
      </c>
    </row>
    <row r="144" spans="1:9" x14ac:dyDescent="0.3">
      <c r="A144" s="5" t="s">
        <v>324</v>
      </c>
      <c r="B144" s="3" t="s">
        <v>62</v>
      </c>
      <c r="C144" s="3" t="s">
        <v>19</v>
      </c>
      <c r="D144" s="3">
        <v>56</v>
      </c>
      <c r="E144" s="3">
        <v>280209.82</v>
      </c>
      <c r="F144" s="3">
        <v>15691749.92</v>
      </c>
      <c r="G144" s="4">
        <v>45504</v>
      </c>
      <c r="H144" s="3" t="s">
        <v>51</v>
      </c>
      <c r="I144" s="6" t="s">
        <v>325</v>
      </c>
    </row>
    <row r="145" spans="1:9" x14ac:dyDescent="0.3">
      <c r="A145" s="5" t="s">
        <v>1085</v>
      </c>
      <c r="B145" s="3" t="s">
        <v>33</v>
      </c>
      <c r="C145" s="3" t="s">
        <v>59</v>
      </c>
      <c r="D145" s="3">
        <v>46.8</v>
      </c>
      <c r="E145" s="3">
        <v>11383.78</v>
      </c>
      <c r="F145" s="3">
        <f>Table1[[#This Row],[Unit Price]]*Table1[[#This Row],[Units Sold]]</f>
        <v>532760.90399999998</v>
      </c>
      <c r="G145" s="4">
        <v>45808</v>
      </c>
      <c r="H145" s="3" t="s">
        <v>15</v>
      </c>
      <c r="I145" s="6" t="s">
        <v>326</v>
      </c>
    </row>
    <row r="146" spans="1:9" x14ac:dyDescent="0.3">
      <c r="A146" s="5" t="s">
        <v>327</v>
      </c>
      <c r="B146" s="3" t="s">
        <v>143</v>
      </c>
      <c r="C146" s="3" t="s">
        <v>1089</v>
      </c>
      <c r="D146" s="3">
        <v>46.8</v>
      </c>
      <c r="E146" s="3">
        <v>250942.86</v>
      </c>
      <c r="F146" s="3">
        <f>Table1[[#This Row],[Unit Price]]*Table1[[#This Row],[Units Sold]]</f>
        <v>11744125.847999999</v>
      </c>
      <c r="G146" s="4">
        <v>45605</v>
      </c>
      <c r="H146" s="3" t="s">
        <v>51</v>
      </c>
      <c r="I146" s="6" t="s">
        <v>329</v>
      </c>
    </row>
    <row r="147" spans="1:9" x14ac:dyDescent="0.3">
      <c r="A147" s="5" t="s">
        <v>330</v>
      </c>
      <c r="B147" s="3" t="s">
        <v>62</v>
      </c>
      <c r="C147" s="3" t="s">
        <v>19</v>
      </c>
      <c r="D147" s="3">
        <v>46.8</v>
      </c>
      <c r="E147" s="3">
        <v>236494.21</v>
      </c>
      <c r="F147" s="3">
        <f>Table1[[#This Row],[Unit Price]]*Table1[[#This Row],[Units Sold]]</f>
        <v>11067929.027999999</v>
      </c>
      <c r="G147" s="4">
        <v>45541</v>
      </c>
      <c r="H147" s="3" t="s">
        <v>30</v>
      </c>
      <c r="I147" s="6" t="s">
        <v>331</v>
      </c>
    </row>
    <row r="148" spans="1:9" x14ac:dyDescent="0.3">
      <c r="A148" s="5" t="s">
        <v>332</v>
      </c>
      <c r="B148" s="3" t="s">
        <v>66</v>
      </c>
      <c r="C148" s="3" t="s">
        <v>29</v>
      </c>
      <c r="D148" s="3">
        <v>46.8</v>
      </c>
      <c r="E148" s="3">
        <v>56300.33</v>
      </c>
      <c r="F148" s="3">
        <f>Table1[[#This Row],[Unit Price]]*Table1[[#This Row],[Units Sold]]</f>
        <v>2634855.4440000001</v>
      </c>
      <c r="G148" s="4">
        <v>45342</v>
      </c>
      <c r="H148" s="3" t="s">
        <v>30</v>
      </c>
      <c r="I148" s="6" t="s">
        <v>333</v>
      </c>
    </row>
    <row r="149" spans="1:9" x14ac:dyDescent="0.3">
      <c r="A149" s="5" t="s">
        <v>334</v>
      </c>
      <c r="B149" s="3" t="s">
        <v>57</v>
      </c>
      <c r="C149" s="3" t="s">
        <v>59</v>
      </c>
      <c r="D149" s="3">
        <v>46</v>
      </c>
      <c r="E149" s="3">
        <v>224826.46</v>
      </c>
      <c r="F149" s="3">
        <v>10342017.16</v>
      </c>
      <c r="G149" s="4">
        <v>45616</v>
      </c>
      <c r="H149" s="3" t="s">
        <v>11</v>
      </c>
      <c r="I149" s="6" t="s">
        <v>335</v>
      </c>
    </row>
    <row r="150" spans="1:9" x14ac:dyDescent="0.3">
      <c r="A150" s="5" t="s">
        <v>336</v>
      </c>
      <c r="B150" s="3" t="s">
        <v>1086</v>
      </c>
      <c r="C150" s="3" t="s">
        <v>25</v>
      </c>
      <c r="D150" s="3">
        <v>46.8</v>
      </c>
      <c r="E150" s="3">
        <v>261751.06</v>
      </c>
      <c r="F150" s="3">
        <f>Table1[[#This Row],[Unit Price]]*Table1[[#This Row],[Units Sold]]</f>
        <v>12249949.607999999</v>
      </c>
      <c r="G150" s="4">
        <v>45352</v>
      </c>
      <c r="H150" s="3" t="s">
        <v>30</v>
      </c>
      <c r="I150" s="6" t="s">
        <v>337</v>
      </c>
    </row>
    <row r="151" spans="1:9" x14ac:dyDescent="0.3">
      <c r="A151" s="5" t="s">
        <v>338</v>
      </c>
      <c r="B151" s="3" t="s">
        <v>119</v>
      </c>
      <c r="C151" s="3" t="s">
        <v>59</v>
      </c>
      <c r="D151" s="3">
        <v>46.8</v>
      </c>
      <c r="E151" s="3">
        <v>87195.36</v>
      </c>
      <c r="F151" s="3">
        <f>Table1[[#This Row],[Unit Price]]*Table1[[#This Row],[Units Sold]]</f>
        <v>4080742.8479999998</v>
      </c>
      <c r="G151" s="4">
        <v>45493</v>
      </c>
      <c r="H151" s="3" t="s">
        <v>1090</v>
      </c>
      <c r="I151" s="6" t="s">
        <v>339</v>
      </c>
    </row>
    <row r="152" spans="1:9" x14ac:dyDescent="0.3">
      <c r="A152" s="5" t="s">
        <v>340</v>
      </c>
      <c r="B152" s="3" t="s">
        <v>93</v>
      </c>
      <c r="C152" s="3" t="s">
        <v>25</v>
      </c>
      <c r="D152" s="3">
        <v>46.8</v>
      </c>
      <c r="E152" s="3">
        <v>155703.70000000001</v>
      </c>
      <c r="F152" s="3">
        <f>Table1[[#This Row],[Unit Price]]*Table1[[#This Row],[Units Sold]]</f>
        <v>7286933.1600000001</v>
      </c>
      <c r="G152" s="4">
        <v>45308</v>
      </c>
      <c r="H152" s="3" t="s">
        <v>30</v>
      </c>
      <c r="I152" s="6" t="s">
        <v>341</v>
      </c>
    </row>
    <row r="153" spans="1:9" x14ac:dyDescent="0.3">
      <c r="A153" s="5" t="s">
        <v>342</v>
      </c>
      <c r="B153" s="3" t="s">
        <v>36</v>
      </c>
      <c r="C153" s="3" t="s">
        <v>25</v>
      </c>
      <c r="D153" s="3">
        <v>46.8</v>
      </c>
      <c r="E153" s="3">
        <v>11721.12</v>
      </c>
      <c r="F153" s="3">
        <f>Table1[[#This Row],[Unit Price]]*Table1[[#This Row],[Units Sold]]</f>
        <v>548548.41599999997</v>
      </c>
      <c r="G153" s="4">
        <v>45743</v>
      </c>
      <c r="H153" s="3" t="s">
        <v>1090</v>
      </c>
      <c r="I153" s="6" t="s">
        <v>343</v>
      </c>
    </row>
    <row r="154" spans="1:9" x14ac:dyDescent="0.3">
      <c r="A154" s="5" t="s">
        <v>344</v>
      </c>
      <c r="B154" s="3" t="s">
        <v>62</v>
      </c>
      <c r="C154" s="3" t="s">
        <v>98</v>
      </c>
      <c r="D154" s="3">
        <v>46.8</v>
      </c>
      <c r="E154" s="3">
        <v>89868.47</v>
      </c>
      <c r="F154" s="3">
        <f>Table1[[#This Row],[Unit Price]]*Table1[[#This Row],[Units Sold]]</f>
        <v>4205844.3959999997</v>
      </c>
      <c r="G154" s="4">
        <v>45745</v>
      </c>
      <c r="H154" s="3" t="s">
        <v>30</v>
      </c>
      <c r="I154" s="6" t="s">
        <v>345</v>
      </c>
    </row>
    <row r="155" spans="1:9" x14ac:dyDescent="0.3">
      <c r="A155" s="5" t="s">
        <v>346</v>
      </c>
      <c r="B155" s="3" t="s">
        <v>13</v>
      </c>
      <c r="C155" s="3" t="s">
        <v>29</v>
      </c>
      <c r="D155" s="3">
        <v>46.8</v>
      </c>
      <c r="E155" s="3">
        <v>181033.5</v>
      </c>
      <c r="F155" s="3">
        <f>Table1[[#This Row],[Unit Price]]*Table1[[#This Row],[Units Sold]]</f>
        <v>8472367.7999999989</v>
      </c>
      <c r="G155" s="4">
        <v>45650</v>
      </c>
      <c r="H155" s="3" t="s">
        <v>1090</v>
      </c>
      <c r="I155" s="6" t="s">
        <v>347</v>
      </c>
    </row>
    <row r="156" spans="1:9" x14ac:dyDescent="0.3">
      <c r="A156" s="5" t="s">
        <v>348</v>
      </c>
      <c r="B156" s="3" t="s">
        <v>66</v>
      </c>
      <c r="C156" s="3" t="s">
        <v>50</v>
      </c>
      <c r="D156" s="3">
        <v>46.8</v>
      </c>
      <c r="E156" s="3">
        <v>278572.23</v>
      </c>
      <c r="F156" s="3">
        <f>Table1[[#This Row],[Unit Price]]*Table1[[#This Row],[Units Sold]]</f>
        <v>13037180.363999998</v>
      </c>
      <c r="G156" s="4">
        <v>45433</v>
      </c>
      <c r="H156" s="3" t="s">
        <v>1090</v>
      </c>
      <c r="I156" s="6" t="s">
        <v>1091</v>
      </c>
    </row>
    <row r="157" spans="1:9" x14ac:dyDescent="0.3">
      <c r="A157" s="5" t="s">
        <v>349</v>
      </c>
      <c r="B157" s="3" t="s">
        <v>97</v>
      </c>
      <c r="C157" s="3" t="s">
        <v>29</v>
      </c>
      <c r="D157" s="3">
        <v>46.8</v>
      </c>
      <c r="E157" s="3">
        <v>100845.11</v>
      </c>
      <c r="F157" s="3">
        <f>Table1[[#This Row],[Unit Price]]*Table1[[#This Row],[Units Sold]]</f>
        <v>4719551.148</v>
      </c>
      <c r="G157" s="4">
        <v>45349</v>
      </c>
      <c r="H157" s="3" t="s">
        <v>30</v>
      </c>
      <c r="I157" s="6" t="s">
        <v>350</v>
      </c>
    </row>
    <row r="158" spans="1:9" x14ac:dyDescent="0.3">
      <c r="A158" s="5" t="s">
        <v>1085</v>
      </c>
      <c r="B158" s="3" t="s">
        <v>230</v>
      </c>
      <c r="C158" s="3" t="s">
        <v>76</v>
      </c>
      <c r="D158" s="3">
        <v>46.8</v>
      </c>
      <c r="E158" s="3">
        <v>136577.54999999999</v>
      </c>
      <c r="F158" s="3">
        <f>Table1[[#This Row],[Unit Price]]*Table1[[#This Row],[Units Sold]]</f>
        <v>6391829.3399999989</v>
      </c>
      <c r="G158" s="4">
        <v>45470</v>
      </c>
      <c r="H158" s="3" t="s">
        <v>1090</v>
      </c>
      <c r="I158" s="6" t="s">
        <v>351</v>
      </c>
    </row>
    <row r="159" spans="1:9" x14ac:dyDescent="0.3">
      <c r="A159" s="5" t="s">
        <v>352</v>
      </c>
      <c r="B159" s="3" t="s">
        <v>13</v>
      </c>
      <c r="C159" s="3" t="s">
        <v>19</v>
      </c>
      <c r="D159" s="3">
        <v>46.8</v>
      </c>
      <c r="E159" s="3">
        <v>192573.07</v>
      </c>
      <c r="F159" s="3">
        <f>Table1[[#This Row],[Unit Price]]*Table1[[#This Row],[Units Sold]]</f>
        <v>9012419.675999999</v>
      </c>
      <c r="G159" s="4">
        <v>45174</v>
      </c>
      <c r="H159" s="3" t="s">
        <v>11</v>
      </c>
      <c r="I159" s="6" t="s">
        <v>353</v>
      </c>
    </row>
    <row r="160" spans="1:9" x14ac:dyDescent="0.3">
      <c r="A160" s="5" t="s">
        <v>354</v>
      </c>
      <c r="B160" s="3" t="s">
        <v>33</v>
      </c>
      <c r="C160" s="3" t="s">
        <v>29</v>
      </c>
      <c r="D160" s="3">
        <v>46.8</v>
      </c>
      <c r="E160" s="3">
        <v>157533.4</v>
      </c>
      <c r="F160" s="3">
        <f>Table1[[#This Row],[Unit Price]]*Table1[[#This Row],[Units Sold]]</f>
        <v>7372563.1199999992</v>
      </c>
      <c r="G160" s="4">
        <v>45652</v>
      </c>
      <c r="H160" s="3" t="s">
        <v>15</v>
      </c>
      <c r="I160" s="6" t="s">
        <v>355</v>
      </c>
    </row>
    <row r="161" spans="1:9" x14ac:dyDescent="0.3">
      <c r="A161" s="5" t="s">
        <v>356</v>
      </c>
      <c r="B161" s="3" t="s">
        <v>119</v>
      </c>
      <c r="C161" s="3" t="s">
        <v>19</v>
      </c>
      <c r="D161" s="3">
        <v>46.8</v>
      </c>
      <c r="E161" s="3">
        <v>266833.36</v>
      </c>
      <c r="F161" s="3">
        <f>Table1[[#This Row],[Unit Price]]*Table1[[#This Row],[Units Sold]]</f>
        <v>12487801.247999998</v>
      </c>
      <c r="G161" s="4">
        <v>45164</v>
      </c>
      <c r="H161" s="3" t="s">
        <v>1090</v>
      </c>
      <c r="I161" s="6" t="s">
        <v>357</v>
      </c>
    </row>
    <row r="162" spans="1:9" x14ac:dyDescent="0.3">
      <c r="A162" s="5" t="s">
        <v>358</v>
      </c>
      <c r="B162" s="3" t="s">
        <v>143</v>
      </c>
      <c r="C162" s="3" t="s">
        <v>19</v>
      </c>
      <c r="D162" s="3">
        <v>47</v>
      </c>
      <c r="E162" s="3">
        <v>155703.70000000001</v>
      </c>
      <c r="F162" s="3">
        <f>Table1[[#This Row],[Unit Price]]*Table1[[#This Row],[Units Sold]]</f>
        <v>7318073.9000000004</v>
      </c>
      <c r="G162" s="4">
        <v>45240</v>
      </c>
      <c r="H162" s="3" t="s">
        <v>1090</v>
      </c>
      <c r="I162" s="6" t="s">
        <v>359</v>
      </c>
    </row>
    <row r="163" spans="1:9" x14ac:dyDescent="0.3">
      <c r="A163" s="5" t="s">
        <v>360</v>
      </c>
      <c r="B163" s="3" t="s">
        <v>22</v>
      </c>
      <c r="C163" s="3" t="s">
        <v>19</v>
      </c>
      <c r="D163" s="3">
        <v>56</v>
      </c>
      <c r="E163" s="3">
        <v>40692.879999999997</v>
      </c>
      <c r="F163" s="3">
        <v>2278801.2799999998</v>
      </c>
      <c r="G163" s="4">
        <v>45459</v>
      </c>
      <c r="H163" s="3" t="s">
        <v>11</v>
      </c>
      <c r="I163" s="6" t="s">
        <v>361</v>
      </c>
    </row>
    <row r="164" spans="1:9" x14ac:dyDescent="0.3">
      <c r="A164" s="5" t="s">
        <v>362</v>
      </c>
      <c r="B164" s="3" t="s">
        <v>49</v>
      </c>
      <c r="C164" s="3" t="s">
        <v>98</v>
      </c>
      <c r="D164" s="3">
        <v>46.8</v>
      </c>
      <c r="E164" s="3">
        <v>151511.70000000001</v>
      </c>
      <c r="F164" s="3">
        <f>Table1[[#This Row],[Unit Price]]*Table1[[#This Row],[Units Sold]]</f>
        <v>7090747.5600000005</v>
      </c>
      <c r="G164" s="4">
        <v>45440</v>
      </c>
      <c r="H164" s="3" t="s">
        <v>11</v>
      </c>
      <c r="I164" s="6" t="s">
        <v>364</v>
      </c>
    </row>
    <row r="165" spans="1:9" x14ac:dyDescent="0.3">
      <c r="A165" s="5" t="s">
        <v>365</v>
      </c>
      <c r="B165" s="3" t="s">
        <v>22</v>
      </c>
      <c r="C165" s="3" t="s">
        <v>50</v>
      </c>
      <c r="D165" s="3">
        <v>46.8</v>
      </c>
      <c r="E165" s="3">
        <v>82214.710000000006</v>
      </c>
      <c r="F165" s="3">
        <f>Table1[[#This Row],[Unit Price]]*Table1[[#This Row],[Units Sold]]</f>
        <v>3847648.4279999998</v>
      </c>
      <c r="G165" s="4">
        <v>45494</v>
      </c>
      <c r="H165" s="3" t="s">
        <v>51</v>
      </c>
      <c r="I165" s="6" t="s">
        <v>366</v>
      </c>
    </row>
    <row r="166" spans="1:9" x14ac:dyDescent="0.3">
      <c r="A166" s="5" t="s">
        <v>367</v>
      </c>
      <c r="B166" s="3" t="s">
        <v>87</v>
      </c>
      <c r="C166" s="3" t="s">
        <v>25</v>
      </c>
      <c r="D166" s="3">
        <v>68</v>
      </c>
      <c r="E166" s="3">
        <v>242739.76</v>
      </c>
      <c r="F166" s="3">
        <v>16506303.68</v>
      </c>
      <c r="G166" s="4">
        <v>45478</v>
      </c>
      <c r="H166" s="3" t="s">
        <v>15</v>
      </c>
      <c r="I166" s="6" t="s">
        <v>368</v>
      </c>
    </row>
    <row r="167" spans="1:9" x14ac:dyDescent="0.3">
      <c r="A167" s="5" t="s">
        <v>369</v>
      </c>
      <c r="B167" s="3" t="s">
        <v>39</v>
      </c>
      <c r="C167" s="3" t="s">
        <v>29</v>
      </c>
      <c r="D167" s="3">
        <v>46.8</v>
      </c>
      <c r="E167" s="3">
        <v>99539.89</v>
      </c>
      <c r="F167" s="3">
        <f>Table1[[#This Row],[Unit Price]]*Table1[[#This Row],[Units Sold]]</f>
        <v>4658466.852</v>
      </c>
      <c r="G167" s="4">
        <v>45276</v>
      </c>
      <c r="H167" s="3" t="s">
        <v>51</v>
      </c>
      <c r="I167" s="6" t="s">
        <v>370</v>
      </c>
    </row>
    <row r="168" spans="1:9" x14ac:dyDescent="0.3">
      <c r="A168" s="5" t="s">
        <v>371</v>
      </c>
      <c r="B168" s="3" t="s">
        <v>39</v>
      </c>
      <c r="C168" s="3" t="s">
        <v>76</v>
      </c>
      <c r="D168" s="3">
        <v>46.8</v>
      </c>
      <c r="E168" s="3">
        <v>219470.21</v>
      </c>
      <c r="F168" s="3">
        <f>Table1[[#This Row],[Unit Price]]*Table1[[#This Row],[Units Sold]]</f>
        <v>10271205.828</v>
      </c>
      <c r="G168" s="4">
        <v>45382</v>
      </c>
      <c r="H168" s="3" t="s">
        <v>1090</v>
      </c>
      <c r="I168" s="6" t="s">
        <v>372</v>
      </c>
    </row>
    <row r="169" spans="1:9" x14ac:dyDescent="0.3">
      <c r="A169" s="5" t="s">
        <v>373</v>
      </c>
      <c r="B169" s="3" t="s">
        <v>230</v>
      </c>
      <c r="C169" s="3" t="s">
        <v>29</v>
      </c>
      <c r="D169" s="3">
        <v>46.8</v>
      </c>
      <c r="E169" s="3">
        <v>194661.46</v>
      </c>
      <c r="F169" s="3">
        <f>Table1[[#This Row],[Unit Price]]*Table1[[#This Row],[Units Sold]]</f>
        <v>9110156.3279999997</v>
      </c>
      <c r="G169" s="4">
        <v>45589</v>
      </c>
      <c r="H169" s="3" t="s">
        <v>11</v>
      </c>
      <c r="I169" s="6" t="s">
        <v>374</v>
      </c>
    </row>
    <row r="170" spans="1:9" x14ac:dyDescent="0.3">
      <c r="A170" s="5" t="s">
        <v>375</v>
      </c>
      <c r="B170" s="3" t="s">
        <v>39</v>
      </c>
      <c r="C170" s="3" t="s">
        <v>25</v>
      </c>
      <c r="D170" s="3">
        <v>100</v>
      </c>
      <c r="E170" s="3">
        <v>215720.15</v>
      </c>
      <c r="F170" s="3">
        <v>21572015</v>
      </c>
      <c r="G170" s="4">
        <v>45229</v>
      </c>
      <c r="H170" s="3" t="s">
        <v>1090</v>
      </c>
      <c r="I170" s="6" t="s">
        <v>1091</v>
      </c>
    </row>
    <row r="171" spans="1:9" x14ac:dyDescent="0.3">
      <c r="A171" s="5" t="s">
        <v>1085</v>
      </c>
      <c r="B171" s="3" t="s">
        <v>36</v>
      </c>
      <c r="C171" s="3" t="s">
        <v>59</v>
      </c>
      <c r="D171" s="3">
        <v>46.8</v>
      </c>
      <c r="E171" s="3">
        <v>4718.22</v>
      </c>
      <c r="F171" s="3">
        <f>Table1[[#This Row],[Unit Price]]*Table1[[#This Row],[Units Sold]]</f>
        <v>220812.696</v>
      </c>
      <c r="G171" s="4">
        <v>45360</v>
      </c>
      <c r="H171" s="3" t="s">
        <v>30</v>
      </c>
      <c r="I171" s="6" t="s">
        <v>376</v>
      </c>
    </row>
    <row r="172" spans="1:9" x14ac:dyDescent="0.3">
      <c r="A172" s="5" t="s">
        <v>377</v>
      </c>
      <c r="B172" s="3" t="s">
        <v>1086</v>
      </c>
      <c r="C172" s="3" t="s">
        <v>19</v>
      </c>
      <c r="D172" s="3">
        <v>82</v>
      </c>
      <c r="E172" s="3">
        <v>155703.70000000001</v>
      </c>
      <c r="F172" s="3">
        <f>Table1[[#This Row],[Unit Price]]*Table1[[#This Row],[Units Sold]]</f>
        <v>12767703.4</v>
      </c>
      <c r="G172" s="4">
        <v>45787</v>
      </c>
      <c r="H172" s="3" t="s">
        <v>15</v>
      </c>
      <c r="I172" s="6" t="s">
        <v>378</v>
      </c>
    </row>
    <row r="173" spans="1:9" x14ac:dyDescent="0.3">
      <c r="A173" s="5" t="s">
        <v>379</v>
      </c>
      <c r="B173" s="3" t="s">
        <v>1086</v>
      </c>
      <c r="C173" s="3" t="s">
        <v>59</v>
      </c>
      <c r="D173" s="3">
        <v>46.8</v>
      </c>
      <c r="E173" s="3">
        <v>101465.1</v>
      </c>
      <c r="F173" s="3">
        <f>Table1[[#This Row],[Unit Price]]*Table1[[#This Row],[Units Sold]]</f>
        <v>4748566.68</v>
      </c>
      <c r="G173" s="4">
        <v>45675</v>
      </c>
      <c r="H173" s="3" t="s">
        <v>30</v>
      </c>
      <c r="I173" s="6" t="s">
        <v>380</v>
      </c>
    </row>
    <row r="174" spans="1:9" x14ac:dyDescent="0.3">
      <c r="A174" s="5" t="s">
        <v>381</v>
      </c>
      <c r="B174" s="3" t="s">
        <v>230</v>
      </c>
      <c r="C174" s="3" t="s">
        <v>76</v>
      </c>
      <c r="D174" s="3">
        <v>46.8</v>
      </c>
      <c r="E174" s="3">
        <v>88859.77</v>
      </c>
      <c r="F174" s="3">
        <f>Table1[[#This Row],[Unit Price]]*Table1[[#This Row],[Units Sold]]</f>
        <v>4158637.236</v>
      </c>
      <c r="G174" s="4">
        <v>45366</v>
      </c>
      <c r="H174" s="3" t="s">
        <v>11</v>
      </c>
      <c r="I174" s="6" t="s">
        <v>382</v>
      </c>
    </row>
    <row r="175" spans="1:9" x14ac:dyDescent="0.3">
      <c r="A175" s="5" t="s">
        <v>383</v>
      </c>
      <c r="B175" s="3" t="s">
        <v>36</v>
      </c>
      <c r="C175" s="3" t="s">
        <v>59</v>
      </c>
      <c r="D175" s="3">
        <v>46.8</v>
      </c>
      <c r="E175" s="3">
        <v>202483.14</v>
      </c>
      <c r="F175" s="3">
        <f>Table1[[#This Row],[Unit Price]]*Table1[[#This Row],[Units Sold]]</f>
        <v>9476210.9519999996</v>
      </c>
      <c r="G175" s="4">
        <v>45688</v>
      </c>
      <c r="H175" s="3" t="s">
        <v>11</v>
      </c>
      <c r="I175" s="6" t="s">
        <v>384</v>
      </c>
    </row>
    <row r="176" spans="1:9" x14ac:dyDescent="0.3">
      <c r="A176" s="5" t="s">
        <v>385</v>
      </c>
      <c r="B176" s="3" t="s">
        <v>93</v>
      </c>
      <c r="C176" s="3" t="s">
        <v>59</v>
      </c>
      <c r="D176" s="3">
        <v>83</v>
      </c>
      <c r="E176" s="3">
        <v>58351.81</v>
      </c>
      <c r="F176" s="3">
        <v>4843200.2300000004</v>
      </c>
      <c r="G176" s="4">
        <v>45786</v>
      </c>
      <c r="H176" s="3" t="s">
        <v>11</v>
      </c>
      <c r="I176" s="6" t="s">
        <v>386</v>
      </c>
    </row>
    <row r="177" spans="1:9" x14ac:dyDescent="0.3">
      <c r="A177" s="5" t="s">
        <v>387</v>
      </c>
      <c r="B177" s="3" t="s">
        <v>18</v>
      </c>
      <c r="C177" s="3" t="s">
        <v>19</v>
      </c>
      <c r="D177" s="3">
        <v>31</v>
      </c>
      <c r="E177" s="3">
        <v>183480.87</v>
      </c>
      <c r="F177" s="3">
        <v>5687906.9699999997</v>
      </c>
      <c r="G177" s="4">
        <v>45386</v>
      </c>
      <c r="H177" s="3" t="s">
        <v>15</v>
      </c>
      <c r="I177" s="6" t="s">
        <v>388</v>
      </c>
    </row>
    <row r="178" spans="1:9" x14ac:dyDescent="0.3">
      <c r="A178" s="5" t="s">
        <v>389</v>
      </c>
      <c r="B178" s="3" t="s">
        <v>62</v>
      </c>
      <c r="C178" s="3" t="s">
        <v>25</v>
      </c>
      <c r="D178" s="3">
        <v>46.8</v>
      </c>
      <c r="E178" s="3">
        <v>191798.38</v>
      </c>
      <c r="F178" s="3">
        <f>Table1[[#This Row],[Unit Price]]*Table1[[#This Row],[Units Sold]]</f>
        <v>8976164.1840000004</v>
      </c>
      <c r="G178" s="4">
        <v>45427</v>
      </c>
      <c r="H178" s="3" t="s">
        <v>51</v>
      </c>
      <c r="I178" s="6" t="s">
        <v>390</v>
      </c>
    </row>
    <row r="179" spans="1:9" x14ac:dyDescent="0.3">
      <c r="A179" s="5" t="s">
        <v>391</v>
      </c>
      <c r="B179" s="3" t="s">
        <v>66</v>
      </c>
      <c r="C179" s="3" t="s">
        <v>25</v>
      </c>
      <c r="D179" s="3">
        <v>26</v>
      </c>
      <c r="E179" s="3">
        <v>121944.37</v>
      </c>
      <c r="F179" s="3">
        <v>3170553.62</v>
      </c>
      <c r="G179" s="4">
        <v>45219</v>
      </c>
      <c r="H179" s="3" t="s">
        <v>1090</v>
      </c>
      <c r="I179" s="6" t="s">
        <v>392</v>
      </c>
    </row>
    <row r="180" spans="1:9" x14ac:dyDescent="0.3">
      <c r="A180" s="5" t="s">
        <v>393</v>
      </c>
      <c r="B180" s="3" t="s">
        <v>46</v>
      </c>
      <c r="C180" s="3" t="s">
        <v>25</v>
      </c>
      <c r="D180" s="3">
        <v>78</v>
      </c>
      <c r="E180" s="3">
        <v>128597.12</v>
      </c>
      <c r="F180" s="3">
        <v>10030575.359999999</v>
      </c>
      <c r="G180" s="4">
        <v>45708</v>
      </c>
      <c r="H180" s="3" t="s">
        <v>1090</v>
      </c>
      <c r="I180" s="6" t="s">
        <v>394</v>
      </c>
    </row>
    <row r="181" spans="1:9" x14ac:dyDescent="0.3">
      <c r="A181" s="5" t="s">
        <v>395</v>
      </c>
      <c r="B181" s="3" t="s">
        <v>57</v>
      </c>
      <c r="C181" s="3" t="s">
        <v>29</v>
      </c>
      <c r="D181" s="3">
        <v>46.8</v>
      </c>
      <c r="E181" s="3">
        <v>98714.03</v>
      </c>
      <c r="F181" s="3">
        <f>Table1[[#This Row],[Unit Price]]*Table1[[#This Row],[Units Sold]]</f>
        <v>4619816.6039999994</v>
      </c>
      <c r="G181" s="4">
        <v>45405</v>
      </c>
      <c r="H181" s="3" t="s">
        <v>1090</v>
      </c>
      <c r="I181" s="6" t="s">
        <v>396</v>
      </c>
    </row>
    <row r="182" spans="1:9" x14ac:dyDescent="0.3">
      <c r="A182" s="5" t="s">
        <v>397</v>
      </c>
      <c r="B182" s="3" t="s">
        <v>36</v>
      </c>
      <c r="C182" s="3" t="s">
        <v>50</v>
      </c>
      <c r="D182" s="3">
        <v>10</v>
      </c>
      <c r="E182" s="3">
        <v>155703.70000000001</v>
      </c>
      <c r="F182" s="3">
        <f>Table1[[#This Row],[Unit Price]]*Table1[[#This Row],[Units Sold]]</f>
        <v>1557037</v>
      </c>
      <c r="G182" s="4">
        <v>45517</v>
      </c>
      <c r="H182" s="3" t="s">
        <v>1090</v>
      </c>
      <c r="I182" s="6" t="s">
        <v>398</v>
      </c>
    </row>
    <row r="183" spans="1:9" x14ac:dyDescent="0.3">
      <c r="A183" s="5" t="s">
        <v>399</v>
      </c>
      <c r="B183" s="3" t="s">
        <v>57</v>
      </c>
      <c r="C183" s="3" t="s">
        <v>29</v>
      </c>
      <c r="D183" s="3">
        <v>46.8</v>
      </c>
      <c r="E183" s="3">
        <v>120549.56</v>
      </c>
      <c r="F183" s="3">
        <f>Table1[[#This Row],[Unit Price]]*Table1[[#This Row],[Units Sold]]</f>
        <v>5641719.4079999998</v>
      </c>
      <c r="G183" s="4">
        <v>45554</v>
      </c>
      <c r="H183" s="3" t="s">
        <v>1090</v>
      </c>
      <c r="I183" s="6" t="s">
        <v>400</v>
      </c>
    </row>
    <row r="184" spans="1:9" x14ac:dyDescent="0.3">
      <c r="A184" s="5" t="s">
        <v>1085</v>
      </c>
      <c r="B184" s="3" t="s">
        <v>143</v>
      </c>
      <c r="C184" s="3" t="s">
        <v>59</v>
      </c>
      <c r="D184" s="3">
        <v>46.8</v>
      </c>
      <c r="E184" s="3">
        <v>29067.84</v>
      </c>
      <c r="F184" s="3">
        <f>Table1[[#This Row],[Unit Price]]*Table1[[#This Row],[Units Sold]]</f>
        <v>1360374.912</v>
      </c>
      <c r="G184" s="4">
        <v>45200</v>
      </c>
      <c r="H184" s="3" t="s">
        <v>51</v>
      </c>
      <c r="I184" s="6" t="s">
        <v>1091</v>
      </c>
    </row>
    <row r="185" spans="1:9" x14ac:dyDescent="0.3">
      <c r="A185" s="5" t="s">
        <v>401</v>
      </c>
      <c r="B185" s="3" t="s">
        <v>115</v>
      </c>
      <c r="C185" s="3" t="s">
        <v>50</v>
      </c>
      <c r="D185" s="3">
        <v>46.8</v>
      </c>
      <c r="E185" s="3">
        <v>294514.71999999997</v>
      </c>
      <c r="F185" s="3">
        <f>Table1[[#This Row],[Unit Price]]*Table1[[#This Row],[Units Sold]]</f>
        <v>13783288.895999998</v>
      </c>
      <c r="G185" s="4">
        <v>45365</v>
      </c>
      <c r="H185" s="3" t="s">
        <v>30</v>
      </c>
      <c r="I185" s="6" t="s">
        <v>402</v>
      </c>
    </row>
    <row r="186" spans="1:9" x14ac:dyDescent="0.3">
      <c r="A186" s="5" t="s">
        <v>403</v>
      </c>
      <c r="B186" s="3" t="s">
        <v>119</v>
      </c>
      <c r="C186" s="3" t="s">
        <v>1089</v>
      </c>
      <c r="D186" s="3">
        <v>46.8</v>
      </c>
      <c r="E186" s="3">
        <v>143497.5</v>
      </c>
      <c r="F186" s="3">
        <f>Table1[[#This Row],[Unit Price]]*Table1[[#This Row],[Units Sold]]</f>
        <v>6715683</v>
      </c>
      <c r="G186" s="4">
        <v>45305</v>
      </c>
      <c r="H186" s="3" t="s">
        <v>15</v>
      </c>
      <c r="I186" s="6" t="s">
        <v>404</v>
      </c>
    </row>
    <row r="187" spans="1:9" x14ac:dyDescent="0.3">
      <c r="A187" s="5" t="s">
        <v>405</v>
      </c>
      <c r="B187" s="3" t="s">
        <v>83</v>
      </c>
      <c r="C187" s="3" t="s">
        <v>29</v>
      </c>
      <c r="D187" s="3">
        <v>46.8</v>
      </c>
      <c r="E187" s="3">
        <v>280779.7</v>
      </c>
      <c r="F187" s="3">
        <f>Table1[[#This Row],[Unit Price]]*Table1[[#This Row],[Units Sold]]</f>
        <v>13140489.959999999</v>
      </c>
      <c r="G187" s="4">
        <v>45480</v>
      </c>
      <c r="H187" s="3" t="s">
        <v>30</v>
      </c>
      <c r="I187" s="6" t="s">
        <v>406</v>
      </c>
    </row>
    <row r="188" spans="1:9" x14ac:dyDescent="0.3">
      <c r="A188" s="5" t="s">
        <v>407</v>
      </c>
      <c r="B188" s="3" t="s">
        <v>62</v>
      </c>
      <c r="C188" s="3" t="s">
        <v>29</v>
      </c>
      <c r="D188" s="3">
        <v>46.8</v>
      </c>
      <c r="E188" s="3">
        <v>2545.62</v>
      </c>
      <c r="F188" s="3">
        <f>Table1[[#This Row],[Unit Price]]*Table1[[#This Row],[Units Sold]]</f>
        <v>119135.01599999999</v>
      </c>
      <c r="G188" s="4">
        <v>45213</v>
      </c>
      <c r="H188" s="3" t="s">
        <v>30</v>
      </c>
      <c r="I188" s="6" t="s">
        <v>408</v>
      </c>
    </row>
    <row r="189" spans="1:9" x14ac:dyDescent="0.3">
      <c r="A189" s="5" t="s">
        <v>409</v>
      </c>
      <c r="B189" s="3" t="s">
        <v>83</v>
      </c>
      <c r="C189" s="3" t="s">
        <v>19</v>
      </c>
      <c r="D189" s="3">
        <v>46.8</v>
      </c>
      <c r="E189" s="3">
        <v>115380.53</v>
      </c>
      <c r="F189" s="3">
        <f>Table1[[#This Row],[Unit Price]]*Table1[[#This Row],[Units Sold]]</f>
        <v>5399808.8039999995</v>
      </c>
      <c r="G189" s="4">
        <v>45325</v>
      </c>
      <c r="H189" s="3" t="s">
        <v>1090</v>
      </c>
      <c r="I189" s="6" t="s">
        <v>410</v>
      </c>
    </row>
    <row r="190" spans="1:9" x14ac:dyDescent="0.3">
      <c r="A190" s="5" t="s">
        <v>411</v>
      </c>
      <c r="B190" s="3" t="s">
        <v>33</v>
      </c>
      <c r="C190" s="3" t="s">
        <v>25</v>
      </c>
      <c r="D190" s="3">
        <v>46.8</v>
      </c>
      <c r="E190" s="3">
        <v>134297.29</v>
      </c>
      <c r="F190" s="3">
        <f>Table1[[#This Row],[Unit Price]]*Table1[[#This Row],[Units Sold]]</f>
        <v>6285113.1720000003</v>
      </c>
      <c r="G190" s="4">
        <v>45467</v>
      </c>
      <c r="H190" s="3" t="s">
        <v>1090</v>
      </c>
      <c r="I190" s="6" t="s">
        <v>412</v>
      </c>
    </row>
    <row r="191" spans="1:9" x14ac:dyDescent="0.3">
      <c r="A191" s="5" t="s">
        <v>413</v>
      </c>
      <c r="B191" s="3" t="s">
        <v>22</v>
      </c>
      <c r="C191" s="3" t="s">
        <v>25</v>
      </c>
      <c r="D191" s="3">
        <v>41</v>
      </c>
      <c r="E191" s="3">
        <v>80464.800000000003</v>
      </c>
      <c r="F191" s="3">
        <v>3299056.8</v>
      </c>
      <c r="G191" s="4">
        <v>45310</v>
      </c>
      <c r="H191" s="3" t="s">
        <v>51</v>
      </c>
      <c r="I191" s="6" t="s">
        <v>414</v>
      </c>
    </row>
    <row r="192" spans="1:9" x14ac:dyDescent="0.3">
      <c r="A192" s="5" t="s">
        <v>415</v>
      </c>
      <c r="B192" s="3" t="s">
        <v>22</v>
      </c>
      <c r="C192" s="3" t="s">
        <v>50</v>
      </c>
      <c r="D192" s="3">
        <v>57</v>
      </c>
      <c r="E192" s="3">
        <v>155703.70000000001</v>
      </c>
      <c r="F192" s="3">
        <f>Table1[[#This Row],[Unit Price]]*Table1[[#This Row],[Units Sold]]</f>
        <v>8875110.9000000004</v>
      </c>
      <c r="G192" s="4">
        <v>45227</v>
      </c>
      <c r="H192" s="3" t="s">
        <v>15</v>
      </c>
      <c r="I192" s="6" t="s">
        <v>416</v>
      </c>
    </row>
    <row r="193" spans="1:9" x14ac:dyDescent="0.3">
      <c r="A193" s="5" t="s">
        <v>417</v>
      </c>
      <c r="B193" s="3" t="s">
        <v>39</v>
      </c>
      <c r="C193" s="3" t="s">
        <v>29</v>
      </c>
      <c r="D193" s="3">
        <v>46.8</v>
      </c>
      <c r="E193" s="3">
        <v>99222.78</v>
      </c>
      <c r="F193" s="3">
        <f>Table1[[#This Row],[Unit Price]]*Table1[[#This Row],[Units Sold]]</f>
        <v>4643626.1039999994</v>
      </c>
      <c r="G193" s="4">
        <v>45193</v>
      </c>
      <c r="H193" s="3" t="s">
        <v>11</v>
      </c>
      <c r="I193" s="6" t="s">
        <v>418</v>
      </c>
    </row>
    <row r="194" spans="1:9" x14ac:dyDescent="0.3">
      <c r="A194" s="5" t="s">
        <v>419</v>
      </c>
      <c r="B194" s="3" t="s">
        <v>97</v>
      </c>
      <c r="C194" s="3" t="s">
        <v>25</v>
      </c>
      <c r="D194" s="3">
        <v>46.8</v>
      </c>
      <c r="E194" s="3">
        <v>174947</v>
      </c>
      <c r="F194" s="3">
        <f>Table1[[#This Row],[Unit Price]]*Table1[[#This Row],[Units Sold]]</f>
        <v>8187519.5999999996</v>
      </c>
      <c r="G194" s="4">
        <v>45157</v>
      </c>
      <c r="H194" s="3" t="s">
        <v>30</v>
      </c>
      <c r="I194" s="6" t="s">
        <v>420</v>
      </c>
    </row>
    <row r="195" spans="1:9" x14ac:dyDescent="0.3">
      <c r="A195" s="5" t="s">
        <v>421</v>
      </c>
      <c r="B195" s="3" t="s">
        <v>13</v>
      </c>
      <c r="C195" s="3" t="s">
        <v>29</v>
      </c>
      <c r="D195" s="3">
        <v>46.8</v>
      </c>
      <c r="E195" s="3">
        <v>172076.77</v>
      </c>
      <c r="F195" s="3">
        <f>Table1[[#This Row],[Unit Price]]*Table1[[#This Row],[Units Sold]]</f>
        <v>8053192.8359999992</v>
      </c>
      <c r="G195" s="4">
        <v>45343</v>
      </c>
      <c r="H195" s="3" t="s">
        <v>11</v>
      </c>
      <c r="I195" s="6" t="s">
        <v>422</v>
      </c>
    </row>
    <row r="196" spans="1:9" x14ac:dyDescent="0.3">
      <c r="A196" s="5" t="s">
        <v>423</v>
      </c>
      <c r="B196" s="3" t="s">
        <v>87</v>
      </c>
      <c r="C196" s="3" t="s">
        <v>59</v>
      </c>
      <c r="D196" s="3">
        <v>46.8</v>
      </c>
      <c r="E196" s="3">
        <v>78835.17</v>
      </c>
      <c r="F196" s="3">
        <f>Table1[[#This Row],[Unit Price]]*Table1[[#This Row],[Units Sold]]</f>
        <v>3689485.9559999998</v>
      </c>
      <c r="G196" s="4">
        <v>45416</v>
      </c>
      <c r="H196" s="3" t="s">
        <v>15</v>
      </c>
      <c r="I196" s="6" t="s">
        <v>424</v>
      </c>
    </row>
    <row r="197" spans="1:9" x14ac:dyDescent="0.3">
      <c r="A197" s="5" t="s">
        <v>1085</v>
      </c>
      <c r="B197" s="3" t="s">
        <v>36</v>
      </c>
      <c r="C197" s="3" t="s">
        <v>1089</v>
      </c>
      <c r="D197" s="3">
        <v>65</v>
      </c>
      <c r="E197" s="3">
        <v>108185.85</v>
      </c>
      <c r="F197" s="3">
        <v>7032080.25</v>
      </c>
      <c r="G197" s="4">
        <v>45789</v>
      </c>
      <c r="H197" s="3" t="s">
        <v>30</v>
      </c>
      <c r="I197" s="6" t="s">
        <v>425</v>
      </c>
    </row>
    <row r="198" spans="1:9" x14ac:dyDescent="0.3">
      <c r="A198" s="5" t="s">
        <v>426</v>
      </c>
      <c r="B198" s="3" t="s">
        <v>22</v>
      </c>
      <c r="C198" s="3" t="s">
        <v>25</v>
      </c>
      <c r="D198" s="3">
        <v>46.8</v>
      </c>
      <c r="E198" s="3">
        <v>71272.62</v>
      </c>
      <c r="F198" s="3">
        <f>Table1[[#This Row],[Unit Price]]*Table1[[#This Row],[Units Sold]]</f>
        <v>3335558.6159999995</v>
      </c>
      <c r="G198" s="4">
        <v>45595</v>
      </c>
      <c r="H198" s="3" t="s">
        <v>11</v>
      </c>
      <c r="I198" s="6" t="s">
        <v>1091</v>
      </c>
    </row>
    <row r="199" spans="1:9" x14ac:dyDescent="0.3">
      <c r="A199" s="5" t="s">
        <v>427</v>
      </c>
      <c r="B199" s="3" t="s">
        <v>87</v>
      </c>
      <c r="C199" s="3" t="s">
        <v>98</v>
      </c>
      <c r="D199" s="3">
        <v>58</v>
      </c>
      <c r="E199" s="3">
        <v>200501.94</v>
      </c>
      <c r="F199" s="3">
        <v>11629112.52</v>
      </c>
      <c r="G199" s="4">
        <v>45442</v>
      </c>
      <c r="H199" s="3" t="s">
        <v>11</v>
      </c>
      <c r="I199" s="6" t="s">
        <v>428</v>
      </c>
    </row>
    <row r="200" spans="1:9" x14ac:dyDescent="0.3">
      <c r="A200" s="5" t="s">
        <v>429</v>
      </c>
      <c r="B200" s="3" t="s">
        <v>22</v>
      </c>
      <c r="C200" s="3" t="s">
        <v>1089</v>
      </c>
      <c r="D200" s="3">
        <v>46.8</v>
      </c>
      <c r="E200" s="3">
        <v>139885.79999999999</v>
      </c>
      <c r="F200" s="3">
        <f>Table1[[#This Row],[Unit Price]]*Table1[[#This Row],[Units Sold]]</f>
        <v>6546655.4399999995</v>
      </c>
      <c r="G200" s="4">
        <v>45310</v>
      </c>
      <c r="H200" s="3" t="s">
        <v>51</v>
      </c>
      <c r="I200" s="6" t="s">
        <v>430</v>
      </c>
    </row>
    <row r="201" spans="1:9" x14ac:dyDescent="0.3">
      <c r="A201" s="5" t="s">
        <v>431</v>
      </c>
      <c r="B201" s="3" t="s">
        <v>13</v>
      </c>
      <c r="C201" s="3" t="s">
        <v>25</v>
      </c>
      <c r="D201" s="3">
        <v>37</v>
      </c>
      <c r="E201" s="3">
        <v>48335.19</v>
      </c>
      <c r="F201" s="3">
        <v>1788402.03</v>
      </c>
      <c r="G201" s="4">
        <v>45790</v>
      </c>
      <c r="H201" s="3" t="s">
        <v>15</v>
      </c>
      <c r="I201" s="6" t="s">
        <v>432</v>
      </c>
    </row>
    <row r="202" spans="1:9" x14ac:dyDescent="0.3">
      <c r="A202" s="5" t="s">
        <v>433</v>
      </c>
      <c r="B202" s="3" t="s">
        <v>39</v>
      </c>
      <c r="C202" s="3" t="s">
        <v>98</v>
      </c>
      <c r="D202" s="3">
        <v>83</v>
      </c>
      <c r="E202" s="3">
        <v>155703.70000000001</v>
      </c>
      <c r="F202" s="3">
        <f>Table1[[#This Row],[Unit Price]]*Table1[[#This Row],[Units Sold]]</f>
        <v>12923407.100000001</v>
      </c>
      <c r="G202" s="4">
        <v>45818</v>
      </c>
      <c r="H202" s="3" t="s">
        <v>15</v>
      </c>
      <c r="I202" s="6" t="s">
        <v>434</v>
      </c>
    </row>
    <row r="203" spans="1:9" x14ac:dyDescent="0.3">
      <c r="A203" s="5" t="s">
        <v>435</v>
      </c>
      <c r="B203" s="3" t="s">
        <v>49</v>
      </c>
      <c r="C203" s="3" t="s">
        <v>98</v>
      </c>
      <c r="D203" s="3">
        <v>46.8</v>
      </c>
      <c r="E203" s="3">
        <v>205979.05</v>
      </c>
      <c r="F203" s="3">
        <f>Table1[[#This Row],[Unit Price]]*Table1[[#This Row],[Units Sold]]</f>
        <v>9639819.5399999991</v>
      </c>
      <c r="G203" s="4">
        <v>45242</v>
      </c>
      <c r="H203" s="3" t="s">
        <v>15</v>
      </c>
      <c r="I203" s="6" t="s">
        <v>436</v>
      </c>
    </row>
    <row r="204" spans="1:9" x14ac:dyDescent="0.3">
      <c r="A204" s="5" t="s">
        <v>437</v>
      </c>
      <c r="B204" s="3" t="s">
        <v>22</v>
      </c>
      <c r="C204" s="3" t="s">
        <v>25</v>
      </c>
      <c r="D204" s="3">
        <v>46.8</v>
      </c>
      <c r="E204" s="3">
        <v>276970.25</v>
      </c>
      <c r="F204" s="3">
        <f>Table1[[#This Row],[Unit Price]]*Table1[[#This Row],[Units Sold]]</f>
        <v>12962207.699999999</v>
      </c>
      <c r="G204" s="4">
        <v>45749</v>
      </c>
      <c r="H204" s="3" t="s">
        <v>30</v>
      </c>
      <c r="I204" s="6" t="s">
        <v>438</v>
      </c>
    </row>
    <row r="205" spans="1:9" x14ac:dyDescent="0.3">
      <c r="A205" s="5" t="s">
        <v>439</v>
      </c>
      <c r="B205" s="3" t="s">
        <v>39</v>
      </c>
      <c r="C205" s="3" t="s">
        <v>1089</v>
      </c>
      <c r="D205" s="3">
        <v>46.8</v>
      </c>
      <c r="E205" s="3">
        <v>266396.52</v>
      </c>
      <c r="F205" s="3">
        <f>Table1[[#This Row],[Unit Price]]*Table1[[#This Row],[Units Sold]]</f>
        <v>12467357.136</v>
      </c>
      <c r="G205" s="4">
        <v>45372</v>
      </c>
      <c r="H205" s="3" t="s">
        <v>51</v>
      </c>
      <c r="I205" s="6" t="s">
        <v>440</v>
      </c>
    </row>
    <row r="206" spans="1:9" x14ac:dyDescent="0.3">
      <c r="A206" s="5" t="s">
        <v>441</v>
      </c>
      <c r="B206" s="3" t="s">
        <v>49</v>
      </c>
      <c r="C206" s="3" t="s">
        <v>19</v>
      </c>
      <c r="D206" s="3">
        <v>46.8</v>
      </c>
      <c r="E206" s="3">
        <v>231067.39</v>
      </c>
      <c r="F206" s="3">
        <f>Table1[[#This Row],[Unit Price]]*Table1[[#This Row],[Units Sold]]</f>
        <v>10813953.852</v>
      </c>
      <c r="G206" s="4">
        <v>45843</v>
      </c>
      <c r="H206" s="3" t="s">
        <v>1090</v>
      </c>
      <c r="I206" s="6" t="s">
        <v>442</v>
      </c>
    </row>
    <row r="207" spans="1:9" x14ac:dyDescent="0.3">
      <c r="A207" s="5" t="s">
        <v>443</v>
      </c>
      <c r="B207" s="3" t="s">
        <v>97</v>
      </c>
      <c r="C207" s="3" t="s">
        <v>50</v>
      </c>
      <c r="D207" s="3">
        <v>46.8</v>
      </c>
      <c r="E207" s="3">
        <v>207241.97</v>
      </c>
      <c r="F207" s="3">
        <f>Table1[[#This Row],[Unit Price]]*Table1[[#This Row],[Units Sold]]</f>
        <v>9698924.1959999986</v>
      </c>
      <c r="G207" s="4">
        <v>45566</v>
      </c>
      <c r="H207" s="3" t="s">
        <v>30</v>
      </c>
      <c r="I207" s="6" t="s">
        <v>444</v>
      </c>
    </row>
    <row r="208" spans="1:9" x14ac:dyDescent="0.3">
      <c r="A208" s="5" t="s">
        <v>445</v>
      </c>
      <c r="B208" s="3" t="s">
        <v>39</v>
      </c>
      <c r="C208" s="3" t="s">
        <v>98</v>
      </c>
      <c r="D208" s="3">
        <v>46.8</v>
      </c>
      <c r="E208" s="3">
        <v>191794.04</v>
      </c>
      <c r="F208" s="3">
        <f>Table1[[#This Row],[Unit Price]]*Table1[[#This Row],[Units Sold]]</f>
        <v>8975961.0720000006</v>
      </c>
      <c r="G208" s="4">
        <v>45678</v>
      </c>
      <c r="H208" s="3" t="s">
        <v>15</v>
      </c>
      <c r="I208" s="6" t="s">
        <v>446</v>
      </c>
    </row>
    <row r="209" spans="1:9" x14ac:dyDescent="0.3">
      <c r="A209" s="5" t="s">
        <v>447</v>
      </c>
      <c r="B209" s="3" t="s">
        <v>62</v>
      </c>
      <c r="C209" s="3" t="s">
        <v>25</v>
      </c>
      <c r="D209" s="3">
        <v>46.8</v>
      </c>
      <c r="E209" s="3">
        <v>282220.37</v>
      </c>
      <c r="F209" s="3">
        <f>Table1[[#This Row],[Unit Price]]*Table1[[#This Row],[Units Sold]]</f>
        <v>13207913.316</v>
      </c>
      <c r="G209" s="4">
        <v>45360</v>
      </c>
      <c r="H209" s="3" t="s">
        <v>30</v>
      </c>
      <c r="I209" s="6" t="s">
        <v>449</v>
      </c>
    </row>
    <row r="210" spans="1:9" x14ac:dyDescent="0.3">
      <c r="A210" s="5" t="s">
        <v>1085</v>
      </c>
      <c r="B210" s="3" t="s">
        <v>22</v>
      </c>
      <c r="C210" s="3" t="s">
        <v>19</v>
      </c>
      <c r="D210" s="3">
        <v>46.8</v>
      </c>
      <c r="E210" s="3">
        <v>110579.4</v>
      </c>
      <c r="F210" s="3">
        <f>Table1[[#This Row],[Unit Price]]*Table1[[#This Row],[Units Sold]]</f>
        <v>5175115.919999999</v>
      </c>
      <c r="G210" s="4">
        <v>45265</v>
      </c>
      <c r="H210" s="3" t="s">
        <v>11</v>
      </c>
      <c r="I210" s="6" t="s">
        <v>450</v>
      </c>
    </row>
    <row r="211" spans="1:9" x14ac:dyDescent="0.3">
      <c r="A211" s="5" t="s">
        <v>451</v>
      </c>
      <c r="B211" s="3" t="s">
        <v>18</v>
      </c>
      <c r="C211" s="3" t="s">
        <v>19</v>
      </c>
      <c r="D211" s="3">
        <v>65</v>
      </c>
      <c r="E211" s="3">
        <v>66644.350000000006</v>
      </c>
      <c r="F211" s="3">
        <v>4331882.75</v>
      </c>
      <c r="G211" s="4">
        <v>45710</v>
      </c>
      <c r="H211" s="3" t="s">
        <v>30</v>
      </c>
      <c r="I211" s="6" t="s">
        <v>452</v>
      </c>
    </row>
    <row r="212" spans="1:9" x14ac:dyDescent="0.3">
      <c r="A212" s="5" t="s">
        <v>453</v>
      </c>
      <c r="B212" s="3" t="s">
        <v>230</v>
      </c>
      <c r="C212" s="3" t="s">
        <v>19</v>
      </c>
      <c r="D212" s="3">
        <v>46.8</v>
      </c>
      <c r="E212" s="3">
        <v>155703.70000000001</v>
      </c>
      <c r="F212" s="3">
        <f>Table1[[#This Row],[Unit Price]]*Table1[[#This Row],[Units Sold]]</f>
        <v>7286933.1600000001</v>
      </c>
      <c r="G212" s="4">
        <v>45241</v>
      </c>
      <c r="H212" s="3" t="s">
        <v>30</v>
      </c>
      <c r="I212" s="6" t="s">
        <v>1091</v>
      </c>
    </row>
    <row r="213" spans="1:9" x14ac:dyDescent="0.3">
      <c r="A213" s="5" t="s">
        <v>454</v>
      </c>
      <c r="B213" s="3" t="s">
        <v>57</v>
      </c>
      <c r="C213" s="3" t="s">
        <v>59</v>
      </c>
      <c r="D213" s="3">
        <v>46.8</v>
      </c>
      <c r="E213" s="3">
        <v>287229.48</v>
      </c>
      <c r="F213" s="3">
        <f>Table1[[#This Row],[Unit Price]]*Table1[[#This Row],[Units Sold]]</f>
        <v>13442339.663999999</v>
      </c>
      <c r="G213" s="4">
        <v>45505</v>
      </c>
      <c r="H213" s="3" t="s">
        <v>15</v>
      </c>
      <c r="I213" s="6" t="s">
        <v>455</v>
      </c>
    </row>
    <row r="214" spans="1:9" x14ac:dyDescent="0.3">
      <c r="A214" s="5" t="s">
        <v>456</v>
      </c>
      <c r="B214" s="3" t="s">
        <v>36</v>
      </c>
      <c r="C214" s="3" t="s">
        <v>1089</v>
      </c>
      <c r="D214" s="3">
        <v>92</v>
      </c>
      <c r="E214" s="3">
        <v>143715.48000000001</v>
      </c>
      <c r="F214" s="3">
        <v>13221824.16</v>
      </c>
      <c r="G214" s="4">
        <v>45517</v>
      </c>
      <c r="H214" s="3" t="s">
        <v>11</v>
      </c>
      <c r="I214" s="6" t="s">
        <v>457</v>
      </c>
    </row>
    <row r="215" spans="1:9" x14ac:dyDescent="0.3">
      <c r="A215" s="5" t="s">
        <v>458</v>
      </c>
      <c r="B215" s="3" t="s">
        <v>1086</v>
      </c>
      <c r="C215" s="3" t="s">
        <v>98</v>
      </c>
      <c r="D215" s="3">
        <v>46.8</v>
      </c>
      <c r="E215" s="3">
        <v>136766.10999999999</v>
      </c>
      <c r="F215" s="3">
        <f>Table1[[#This Row],[Unit Price]]*Table1[[#This Row],[Units Sold]]</f>
        <v>6400653.9479999989</v>
      </c>
      <c r="G215" s="4">
        <v>45480</v>
      </c>
      <c r="H215" s="3" t="s">
        <v>15</v>
      </c>
      <c r="I215" s="6" t="s">
        <v>459</v>
      </c>
    </row>
    <row r="216" spans="1:9" x14ac:dyDescent="0.3">
      <c r="A216" s="5" t="s">
        <v>460</v>
      </c>
      <c r="B216" s="3" t="s">
        <v>87</v>
      </c>
      <c r="C216" s="3" t="s">
        <v>25</v>
      </c>
      <c r="D216" s="3">
        <v>23</v>
      </c>
      <c r="E216" s="3">
        <v>296656.96999999997</v>
      </c>
      <c r="F216" s="3">
        <v>6823110.3099999996</v>
      </c>
      <c r="G216" s="4">
        <v>45505</v>
      </c>
      <c r="H216" s="3" t="s">
        <v>11</v>
      </c>
      <c r="I216" s="6" t="s">
        <v>461</v>
      </c>
    </row>
    <row r="217" spans="1:9" x14ac:dyDescent="0.3">
      <c r="A217" s="5" t="s">
        <v>462</v>
      </c>
      <c r="B217" s="3" t="s">
        <v>87</v>
      </c>
      <c r="C217" s="3" t="s">
        <v>19</v>
      </c>
      <c r="D217" s="3">
        <v>46.8</v>
      </c>
      <c r="E217" s="3">
        <v>112400.64</v>
      </c>
      <c r="F217" s="3">
        <f>Table1[[#This Row],[Unit Price]]*Table1[[#This Row],[Units Sold]]</f>
        <v>5260349.9519999996</v>
      </c>
      <c r="G217" s="4">
        <v>45800</v>
      </c>
      <c r="H217" s="3" t="s">
        <v>11</v>
      </c>
      <c r="I217" s="6" t="s">
        <v>463</v>
      </c>
    </row>
    <row r="218" spans="1:9" x14ac:dyDescent="0.3">
      <c r="A218" s="5" t="s">
        <v>464</v>
      </c>
      <c r="B218" s="3" t="s">
        <v>230</v>
      </c>
      <c r="C218" s="3" t="s">
        <v>50</v>
      </c>
      <c r="D218" s="3">
        <v>46.8</v>
      </c>
      <c r="E218" s="3">
        <v>210731.25</v>
      </c>
      <c r="F218" s="3">
        <f>Table1[[#This Row],[Unit Price]]*Table1[[#This Row],[Units Sold]]</f>
        <v>9862222.5</v>
      </c>
      <c r="G218" s="4">
        <v>45357</v>
      </c>
      <c r="H218" s="3" t="s">
        <v>11</v>
      </c>
      <c r="I218" s="6" t="s">
        <v>466</v>
      </c>
    </row>
    <row r="219" spans="1:9" x14ac:dyDescent="0.3">
      <c r="A219" s="5" t="s">
        <v>467</v>
      </c>
      <c r="B219" s="3" t="s">
        <v>22</v>
      </c>
      <c r="C219" s="3" t="s">
        <v>50</v>
      </c>
      <c r="D219" s="3">
        <v>46.8</v>
      </c>
      <c r="E219" s="3">
        <v>273882.67</v>
      </c>
      <c r="F219" s="3">
        <f>Table1[[#This Row],[Unit Price]]*Table1[[#This Row],[Units Sold]]</f>
        <v>12817708.955999998</v>
      </c>
      <c r="G219" s="4">
        <v>45504</v>
      </c>
      <c r="H219" s="3" t="s">
        <v>15</v>
      </c>
      <c r="I219" s="6" t="s">
        <v>468</v>
      </c>
    </row>
    <row r="220" spans="1:9" x14ac:dyDescent="0.3">
      <c r="A220" s="5" t="s">
        <v>469</v>
      </c>
      <c r="B220" s="3" t="s">
        <v>230</v>
      </c>
      <c r="C220" s="3" t="s">
        <v>76</v>
      </c>
      <c r="D220" s="3">
        <v>79</v>
      </c>
      <c r="E220" s="3">
        <v>227326.48</v>
      </c>
      <c r="F220" s="3">
        <v>17958791.920000002</v>
      </c>
      <c r="G220" s="4">
        <v>45136</v>
      </c>
      <c r="H220" s="3" t="s">
        <v>11</v>
      </c>
      <c r="I220" s="6" t="s">
        <v>470</v>
      </c>
    </row>
    <row r="221" spans="1:9" x14ac:dyDescent="0.3">
      <c r="A221" s="5" t="s">
        <v>471</v>
      </c>
      <c r="B221" s="3" t="s">
        <v>46</v>
      </c>
      <c r="C221" s="3" t="s">
        <v>19</v>
      </c>
      <c r="D221" s="3">
        <v>46.8</v>
      </c>
      <c r="E221" s="3">
        <v>240697.5</v>
      </c>
      <c r="F221" s="3">
        <f>Table1[[#This Row],[Unit Price]]*Table1[[#This Row],[Units Sold]]</f>
        <v>11264643</v>
      </c>
      <c r="G221" s="4">
        <v>45187</v>
      </c>
      <c r="H221" s="3" t="s">
        <v>51</v>
      </c>
      <c r="I221" s="6" t="s">
        <v>472</v>
      </c>
    </row>
    <row r="222" spans="1:9" x14ac:dyDescent="0.3">
      <c r="A222" s="5" t="s">
        <v>473</v>
      </c>
      <c r="B222" s="3" t="s">
        <v>57</v>
      </c>
      <c r="C222" s="3" t="s">
        <v>50</v>
      </c>
      <c r="D222" s="3">
        <v>46.8</v>
      </c>
      <c r="E222" s="3">
        <v>155703.70000000001</v>
      </c>
      <c r="F222" s="3">
        <f>Table1[[#This Row],[Unit Price]]*Table1[[#This Row],[Units Sold]]</f>
        <v>7286933.1600000001</v>
      </c>
      <c r="G222" s="4">
        <v>45423</v>
      </c>
      <c r="H222" s="3" t="s">
        <v>51</v>
      </c>
      <c r="I222" s="6" t="s">
        <v>474</v>
      </c>
    </row>
    <row r="223" spans="1:9" x14ac:dyDescent="0.3">
      <c r="A223" s="5" t="s">
        <v>1085</v>
      </c>
      <c r="B223" s="3" t="s">
        <v>33</v>
      </c>
      <c r="C223" s="3" t="s">
        <v>98</v>
      </c>
      <c r="D223" s="3">
        <v>46.8</v>
      </c>
      <c r="E223" s="3">
        <v>247768.25</v>
      </c>
      <c r="F223" s="3">
        <f>Table1[[#This Row],[Unit Price]]*Table1[[#This Row],[Units Sold]]</f>
        <v>11595554.1</v>
      </c>
      <c r="G223" s="4">
        <v>45510</v>
      </c>
      <c r="H223" s="3" t="s">
        <v>1090</v>
      </c>
      <c r="I223" s="6" t="s">
        <v>475</v>
      </c>
    </row>
    <row r="224" spans="1:9" x14ac:dyDescent="0.3">
      <c r="A224" s="5" t="s">
        <v>476</v>
      </c>
      <c r="B224" s="3" t="s">
        <v>33</v>
      </c>
      <c r="C224" s="3" t="s">
        <v>1089</v>
      </c>
      <c r="D224" s="3">
        <v>46.8</v>
      </c>
      <c r="E224" s="3">
        <v>228676.96</v>
      </c>
      <c r="F224" s="3">
        <f>Table1[[#This Row],[Unit Price]]*Table1[[#This Row],[Units Sold]]</f>
        <v>10702081.727999998</v>
      </c>
      <c r="G224" s="4">
        <v>45473</v>
      </c>
      <c r="H224" s="3" t="s">
        <v>51</v>
      </c>
      <c r="I224" s="6" t="s">
        <v>477</v>
      </c>
    </row>
    <row r="225" spans="1:9" x14ac:dyDescent="0.3">
      <c r="A225" s="5" t="s">
        <v>478</v>
      </c>
      <c r="B225" s="3" t="s">
        <v>46</v>
      </c>
      <c r="C225" s="3" t="s">
        <v>1089</v>
      </c>
      <c r="D225" s="3">
        <v>46.8</v>
      </c>
      <c r="E225" s="3">
        <v>204262.41</v>
      </c>
      <c r="F225" s="3">
        <f>Table1[[#This Row],[Unit Price]]*Table1[[#This Row],[Units Sold]]</f>
        <v>9559480.7879999988</v>
      </c>
      <c r="G225" s="4">
        <v>45304</v>
      </c>
      <c r="H225" s="3" t="s">
        <v>1090</v>
      </c>
      <c r="I225" s="6" t="s">
        <v>479</v>
      </c>
    </row>
    <row r="226" spans="1:9" x14ac:dyDescent="0.3">
      <c r="A226" s="5" t="s">
        <v>480</v>
      </c>
      <c r="B226" s="3" t="s">
        <v>119</v>
      </c>
      <c r="C226" s="3" t="s">
        <v>25</v>
      </c>
      <c r="D226" s="3">
        <v>46.8</v>
      </c>
      <c r="E226" s="3">
        <v>178946.43</v>
      </c>
      <c r="F226" s="3">
        <f>Table1[[#This Row],[Unit Price]]*Table1[[#This Row],[Units Sold]]</f>
        <v>8374692.9239999987</v>
      </c>
      <c r="G226" s="4">
        <v>45285</v>
      </c>
      <c r="H226" s="3" t="s">
        <v>51</v>
      </c>
      <c r="I226" s="6" t="s">
        <v>1091</v>
      </c>
    </row>
    <row r="227" spans="1:9" x14ac:dyDescent="0.3">
      <c r="A227" s="5" t="s">
        <v>481</v>
      </c>
      <c r="B227" s="3" t="s">
        <v>46</v>
      </c>
      <c r="C227" s="3" t="s">
        <v>50</v>
      </c>
      <c r="D227" s="3">
        <v>46.8</v>
      </c>
      <c r="E227" s="3">
        <v>236317.52</v>
      </c>
      <c r="F227" s="3">
        <f>Table1[[#This Row],[Unit Price]]*Table1[[#This Row],[Units Sold]]</f>
        <v>11059659.935999999</v>
      </c>
      <c r="G227" s="4">
        <v>45571</v>
      </c>
      <c r="H227" s="3" t="s">
        <v>15</v>
      </c>
      <c r="I227" s="6" t="s">
        <v>482</v>
      </c>
    </row>
    <row r="228" spans="1:9" x14ac:dyDescent="0.3">
      <c r="A228" s="5" t="s">
        <v>483</v>
      </c>
      <c r="B228" s="3" t="s">
        <v>46</v>
      </c>
      <c r="C228" s="3" t="s">
        <v>29</v>
      </c>
      <c r="D228" s="3">
        <v>46.8</v>
      </c>
      <c r="E228" s="3">
        <v>157889.24</v>
      </c>
      <c r="F228" s="3">
        <f>Table1[[#This Row],[Unit Price]]*Table1[[#This Row],[Units Sold]]</f>
        <v>7389216.4319999991</v>
      </c>
      <c r="G228" s="4">
        <v>45392</v>
      </c>
      <c r="H228" s="3" t="s">
        <v>1090</v>
      </c>
      <c r="I228" s="6" t="s">
        <v>484</v>
      </c>
    </row>
    <row r="229" spans="1:9" x14ac:dyDescent="0.3">
      <c r="A229" s="5" t="s">
        <v>485</v>
      </c>
      <c r="B229" s="3" t="s">
        <v>83</v>
      </c>
      <c r="C229" s="3" t="s">
        <v>50</v>
      </c>
      <c r="D229" s="3">
        <v>46.8</v>
      </c>
      <c r="E229" s="3">
        <v>158687.85</v>
      </c>
      <c r="F229" s="3">
        <f>Table1[[#This Row],[Unit Price]]*Table1[[#This Row],[Units Sold]]</f>
        <v>7426591.3799999999</v>
      </c>
      <c r="G229" s="4">
        <v>45155</v>
      </c>
      <c r="H229" s="3" t="s">
        <v>30</v>
      </c>
      <c r="I229" s="6" t="s">
        <v>486</v>
      </c>
    </row>
    <row r="230" spans="1:9" x14ac:dyDescent="0.3">
      <c r="A230" s="5" t="s">
        <v>487</v>
      </c>
      <c r="B230" s="3" t="s">
        <v>49</v>
      </c>
      <c r="C230" s="3" t="s">
        <v>76</v>
      </c>
      <c r="D230" s="3">
        <v>46.8</v>
      </c>
      <c r="E230" s="3">
        <v>108854.57</v>
      </c>
      <c r="F230" s="3">
        <f>Table1[[#This Row],[Unit Price]]*Table1[[#This Row],[Units Sold]]</f>
        <v>5094393.8760000002</v>
      </c>
      <c r="G230" s="4">
        <v>45157</v>
      </c>
      <c r="H230" s="3" t="s">
        <v>30</v>
      </c>
      <c r="I230" s="6" t="s">
        <v>488</v>
      </c>
    </row>
    <row r="231" spans="1:9" x14ac:dyDescent="0.3">
      <c r="A231" s="5" t="s">
        <v>489</v>
      </c>
      <c r="B231" s="3" t="s">
        <v>33</v>
      </c>
      <c r="C231" s="3" t="s">
        <v>29</v>
      </c>
      <c r="D231" s="3">
        <v>46.8</v>
      </c>
      <c r="E231" s="3">
        <v>275214.78999999998</v>
      </c>
      <c r="F231" s="3">
        <f>Table1[[#This Row],[Unit Price]]*Table1[[#This Row],[Units Sold]]</f>
        <v>12880052.171999998</v>
      </c>
      <c r="G231" s="4">
        <v>45336</v>
      </c>
      <c r="H231" s="3" t="s">
        <v>51</v>
      </c>
      <c r="I231" s="6" t="s">
        <v>490</v>
      </c>
    </row>
    <row r="232" spans="1:9" x14ac:dyDescent="0.3">
      <c r="A232" s="5" t="s">
        <v>491</v>
      </c>
      <c r="B232" s="3" t="s">
        <v>49</v>
      </c>
      <c r="C232" s="3" t="s">
        <v>76</v>
      </c>
      <c r="D232" s="3">
        <v>78</v>
      </c>
      <c r="E232" s="3">
        <v>155703.70000000001</v>
      </c>
      <c r="F232" s="3">
        <f>Table1[[#This Row],[Unit Price]]*Table1[[#This Row],[Units Sold]]</f>
        <v>12144888.600000001</v>
      </c>
      <c r="G232" s="4">
        <v>45502</v>
      </c>
      <c r="H232" s="3" t="s">
        <v>30</v>
      </c>
      <c r="I232" s="6" t="s">
        <v>492</v>
      </c>
    </row>
    <row r="233" spans="1:9" x14ac:dyDescent="0.3">
      <c r="A233" s="5" t="s">
        <v>493</v>
      </c>
      <c r="B233" s="3" t="s">
        <v>115</v>
      </c>
      <c r="C233" s="3" t="s">
        <v>19</v>
      </c>
      <c r="D233" s="3">
        <v>43</v>
      </c>
      <c r="E233" s="3">
        <v>34106.53</v>
      </c>
      <c r="F233" s="3">
        <v>1466580.79</v>
      </c>
      <c r="G233" s="4">
        <v>45582</v>
      </c>
      <c r="H233" s="3" t="s">
        <v>51</v>
      </c>
      <c r="I233" s="6" t="s">
        <v>494</v>
      </c>
    </row>
    <row r="234" spans="1:9" x14ac:dyDescent="0.3">
      <c r="A234" s="5" t="s">
        <v>495</v>
      </c>
      <c r="B234" s="3" t="s">
        <v>97</v>
      </c>
      <c r="C234" s="3" t="s">
        <v>19</v>
      </c>
      <c r="D234" s="3">
        <v>46.8</v>
      </c>
      <c r="E234" s="3">
        <v>248717.83</v>
      </c>
      <c r="F234" s="3">
        <f>Table1[[#This Row],[Unit Price]]*Table1[[#This Row],[Units Sold]]</f>
        <v>11639994.443999998</v>
      </c>
      <c r="G234" s="4">
        <v>45803</v>
      </c>
      <c r="H234" s="3" t="s">
        <v>51</v>
      </c>
      <c r="I234" s="6" t="s">
        <v>496</v>
      </c>
    </row>
    <row r="235" spans="1:9" x14ac:dyDescent="0.3">
      <c r="A235" s="5" t="s">
        <v>497</v>
      </c>
      <c r="B235" s="3" t="s">
        <v>33</v>
      </c>
      <c r="C235" s="3" t="s">
        <v>25</v>
      </c>
      <c r="D235" s="3">
        <v>46.8</v>
      </c>
      <c r="E235" s="3">
        <v>270915</v>
      </c>
      <c r="F235" s="3">
        <f>Table1[[#This Row],[Unit Price]]*Table1[[#This Row],[Units Sold]]</f>
        <v>12678822</v>
      </c>
      <c r="G235" s="4">
        <v>45772</v>
      </c>
      <c r="H235" s="3" t="s">
        <v>30</v>
      </c>
      <c r="I235" s="6" t="s">
        <v>498</v>
      </c>
    </row>
    <row r="236" spans="1:9" x14ac:dyDescent="0.3">
      <c r="A236" s="5" t="s">
        <v>1085</v>
      </c>
      <c r="B236" s="3" t="s">
        <v>22</v>
      </c>
      <c r="C236" s="3" t="s">
        <v>76</v>
      </c>
      <c r="D236" s="3">
        <v>46.8</v>
      </c>
      <c r="E236" s="3">
        <v>61045.96</v>
      </c>
      <c r="F236" s="3">
        <f>Table1[[#This Row],[Unit Price]]*Table1[[#This Row],[Units Sold]]</f>
        <v>2856950.9279999998</v>
      </c>
      <c r="G236" s="4">
        <v>45626</v>
      </c>
      <c r="H236" s="3" t="s">
        <v>30</v>
      </c>
      <c r="I236" s="6" t="s">
        <v>499</v>
      </c>
    </row>
    <row r="237" spans="1:9" x14ac:dyDescent="0.3">
      <c r="A237" s="5" t="s">
        <v>500</v>
      </c>
      <c r="B237" s="3" t="s">
        <v>57</v>
      </c>
      <c r="C237" s="3" t="s">
        <v>25</v>
      </c>
      <c r="D237" s="3">
        <v>46.8</v>
      </c>
      <c r="E237" s="3">
        <v>161229.72</v>
      </c>
      <c r="F237" s="3">
        <f>Table1[[#This Row],[Unit Price]]*Table1[[#This Row],[Units Sold]]</f>
        <v>7545550.8959999997</v>
      </c>
      <c r="G237" s="4">
        <v>45640</v>
      </c>
      <c r="H237" s="3" t="s">
        <v>11</v>
      </c>
      <c r="I237" s="6" t="s">
        <v>501</v>
      </c>
    </row>
    <row r="238" spans="1:9" x14ac:dyDescent="0.3">
      <c r="A238" s="5" t="s">
        <v>502</v>
      </c>
      <c r="B238" s="3" t="s">
        <v>57</v>
      </c>
      <c r="C238" s="3" t="s">
        <v>98</v>
      </c>
      <c r="D238" s="3">
        <v>51</v>
      </c>
      <c r="E238" s="3">
        <v>49778.879999999997</v>
      </c>
      <c r="F238" s="3">
        <v>2538722.88</v>
      </c>
      <c r="G238" s="4">
        <v>45483</v>
      </c>
      <c r="H238" s="3" t="s">
        <v>1090</v>
      </c>
      <c r="I238" s="6" t="s">
        <v>503</v>
      </c>
    </row>
    <row r="239" spans="1:9" x14ac:dyDescent="0.3">
      <c r="A239" s="5" t="s">
        <v>504</v>
      </c>
      <c r="B239" s="3" t="s">
        <v>36</v>
      </c>
      <c r="C239" s="3" t="s">
        <v>50</v>
      </c>
      <c r="D239" s="3">
        <v>46.8</v>
      </c>
      <c r="E239" s="3">
        <v>256418.56</v>
      </c>
      <c r="F239" s="3">
        <f>Table1[[#This Row],[Unit Price]]*Table1[[#This Row],[Units Sold]]</f>
        <v>12000388.607999999</v>
      </c>
      <c r="G239" s="4">
        <v>45339</v>
      </c>
      <c r="H239" s="3" t="s">
        <v>51</v>
      </c>
      <c r="I239" s="6" t="s">
        <v>505</v>
      </c>
    </row>
    <row r="240" spans="1:9" x14ac:dyDescent="0.3">
      <c r="A240" s="5" t="s">
        <v>506</v>
      </c>
      <c r="B240" s="3" t="s">
        <v>83</v>
      </c>
      <c r="C240" s="3" t="s">
        <v>29</v>
      </c>
      <c r="D240" s="3">
        <v>46.8</v>
      </c>
      <c r="E240" s="3">
        <v>132831.25</v>
      </c>
      <c r="F240" s="3">
        <f>Table1[[#This Row],[Unit Price]]*Table1[[#This Row],[Units Sold]]</f>
        <v>6216502.5</v>
      </c>
      <c r="G240" s="4">
        <v>45534</v>
      </c>
      <c r="H240" s="3" t="s">
        <v>30</v>
      </c>
      <c r="I240" s="6" t="s">
        <v>1091</v>
      </c>
    </row>
    <row r="241" spans="1:9" x14ac:dyDescent="0.3">
      <c r="A241" s="5" t="s">
        <v>507</v>
      </c>
      <c r="B241" s="3" t="s">
        <v>1086</v>
      </c>
      <c r="C241" s="3" t="s">
        <v>29</v>
      </c>
      <c r="D241" s="3">
        <v>46.8</v>
      </c>
      <c r="E241" s="3">
        <v>204248.42</v>
      </c>
      <c r="F241" s="3">
        <f>Table1[[#This Row],[Unit Price]]*Table1[[#This Row],[Units Sold]]</f>
        <v>9558826.0559999999</v>
      </c>
      <c r="G241" s="4">
        <v>45124</v>
      </c>
      <c r="H241" s="3" t="s">
        <v>1090</v>
      </c>
      <c r="I241" s="6" t="s">
        <v>508</v>
      </c>
    </row>
    <row r="242" spans="1:9" x14ac:dyDescent="0.3">
      <c r="A242" s="5" t="s">
        <v>509</v>
      </c>
      <c r="B242" s="3" t="s">
        <v>46</v>
      </c>
      <c r="C242" s="3" t="s">
        <v>25</v>
      </c>
      <c r="D242" s="3">
        <v>46.8</v>
      </c>
      <c r="E242" s="3">
        <v>155703.70000000001</v>
      </c>
      <c r="F242" s="3">
        <f>Table1[[#This Row],[Unit Price]]*Table1[[#This Row],[Units Sold]]</f>
        <v>7286933.1600000001</v>
      </c>
      <c r="G242" s="4">
        <v>45776</v>
      </c>
      <c r="H242" s="3" t="s">
        <v>30</v>
      </c>
      <c r="I242" s="6" t="s">
        <v>510</v>
      </c>
    </row>
    <row r="243" spans="1:9" x14ac:dyDescent="0.3">
      <c r="A243" s="5" t="s">
        <v>511</v>
      </c>
      <c r="B243" s="3" t="s">
        <v>93</v>
      </c>
      <c r="C243" s="3" t="s">
        <v>50</v>
      </c>
      <c r="D243" s="3">
        <v>46.8</v>
      </c>
      <c r="E243" s="3">
        <v>215216.93</v>
      </c>
      <c r="F243" s="3">
        <f>Table1[[#This Row],[Unit Price]]*Table1[[#This Row],[Units Sold]]</f>
        <v>10072152.323999999</v>
      </c>
      <c r="G243" s="4">
        <v>45201</v>
      </c>
      <c r="H243" s="3" t="s">
        <v>30</v>
      </c>
      <c r="I243" s="6" t="s">
        <v>512</v>
      </c>
    </row>
    <row r="244" spans="1:9" x14ac:dyDescent="0.3">
      <c r="A244" s="5" t="s">
        <v>513</v>
      </c>
      <c r="B244" s="3" t="s">
        <v>18</v>
      </c>
      <c r="C244" s="3" t="s">
        <v>1089</v>
      </c>
      <c r="D244" s="3">
        <v>46.8</v>
      </c>
      <c r="E244" s="3">
        <v>146903.98000000001</v>
      </c>
      <c r="F244" s="3">
        <f>Table1[[#This Row],[Unit Price]]*Table1[[#This Row],[Units Sold]]</f>
        <v>6875106.2640000004</v>
      </c>
      <c r="G244" s="4">
        <v>45452</v>
      </c>
      <c r="H244" s="3" t="s">
        <v>11</v>
      </c>
      <c r="I244" s="6" t="s">
        <v>514</v>
      </c>
    </row>
    <row r="245" spans="1:9" x14ac:dyDescent="0.3">
      <c r="A245" s="5" t="s">
        <v>515</v>
      </c>
      <c r="B245" s="3" t="s">
        <v>83</v>
      </c>
      <c r="C245" s="3" t="s">
        <v>29</v>
      </c>
      <c r="D245" s="3">
        <v>46.8</v>
      </c>
      <c r="E245" s="3">
        <v>269717.36</v>
      </c>
      <c r="F245" s="3">
        <f>Table1[[#This Row],[Unit Price]]*Table1[[#This Row],[Units Sold]]</f>
        <v>12622772.447999999</v>
      </c>
      <c r="G245" s="4">
        <v>45222</v>
      </c>
      <c r="H245" s="3" t="s">
        <v>51</v>
      </c>
      <c r="I245" s="6" t="s">
        <v>517</v>
      </c>
    </row>
    <row r="246" spans="1:9" x14ac:dyDescent="0.3">
      <c r="A246" s="5" t="s">
        <v>518</v>
      </c>
      <c r="B246" s="3" t="s">
        <v>22</v>
      </c>
      <c r="C246" s="3" t="s">
        <v>1089</v>
      </c>
      <c r="D246" s="3">
        <v>46.8</v>
      </c>
      <c r="E246" s="3">
        <v>133922.07</v>
      </c>
      <c r="F246" s="3">
        <f>Table1[[#This Row],[Unit Price]]*Table1[[#This Row],[Units Sold]]</f>
        <v>6267552.8760000002</v>
      </c>
      <c r="G246" s="4">
        <v>45803</v>
      </c>
      <c r="H246" s="3" t="s">
        <v>51</v>
      </c>
      <c r="I246" s="6" t="s">
        <v>519</v>
      </c>
    </row>
    <row r="247" spans="1:9" x14ac:dyDescent="0.3">
      <c r="A247" s="5" t="s">
        <v>520</v>
      </c>
      <c r="B247" s="3" t="s">
        <v>39</v>
      </c>
      <c r="C247" s="3" t="s">
        <v>50</v>
      </c>
      <c r="D247" s="3">
        <v>46.8</v>
      </c>
      <c r="E247" s="3">
        <v>17162.919999999998</v>
      </c>
      <c r="F247" s="3">
        <f>Table1[[#This Row],[Unit Price]]*Table1[[#This Row],[Units Sold]]</f>
        <v>803224.65599999984</v>
      </c>
      <c r="G247" s="4">
        <v>45323</v>
      </c>
      <c r="H247" s="3" t="s">
        <v>15</v>
      </c>
      <c r="I247" s="6" t="s">
        <v>521</v>
      </c>
    </row>
    <row r="248" spans="1:9" x14ac:dyDescent="0.3">
      <c r="A248" s="5" t="s">
        <v>522</v>
      </c>
      <c r="B248" s="3" t="s">
        <v>83</v>
      </c>
      <c r="C248" s="3" t="s">
        <v>1089</v>
      </c>
      <c r="D248" s="3">
        <v>46.8</v>
      </c>
      <c r="E248" s="3">
        <v>40017.33</v>
      </c>
      <c r="F248" s="3">
        <f>Table1[[#This Row],[Unit Price]]*Table1[[#This Row],[Units Sold]]</f>
        <v>1872811.044</v>
      </c>
      <c r="G248" s="4">
        <v>45683</v>
      </c>
      <c r="H248" s="3" t="s">
        <v>11</v>
      </c>
      <c r="I248" s="6" t="s">
        <v>523</v>
      </c>
    </row>
    <row r="249" spans="1:9" x14ac:dyDescent="0.3">
      <c r="A249" s="5" t="s">
        <v>1085</v>
      </c>
      <c r="B249" s="3" t="s">
        <v>36</v>
      </c>
      <c r="C249" s="3" t="s">
        <v>98</v>
      </c>
      <c r="D249" s="3">
        <v>46.8</v>
      </c>
      <c r="E249" s="3">
        <v>124919.66</v>
      </c>
      <c r="F249" s="3">
        <f>Table1[[#This Row],[Unit Price]]*Table1[[#This Row],[Units Sold]]</f>
        <v>5846240.0879999995</v>
      </c>
      <c r="G249" s="4">
        <v>45402</v>
      </c>
      <c r="H249" s="3" t="s">
        <v>1090</v>
      </c>
      <c r="I249" s="6" t="s">
        <v>524</v>
      </c>
    </row>
    <row r="250" spans="1:9" x14ac:dyDescent="0.3">
      <c r="A250" s="5" t="s">
        <v>525</v>
      </c>
      <c r="B250" s="3" t="s">
        <v>33</v>
      </c>
      <c r="C250" s="3" t="s">
        <v>76</v>
      </c>
      <c r="D250" s="3">
        <v>40</v>
      </c>
      <c r="E250" s="3">
        <v>169391.4</v>
      </c>
      <c r="F250" s="3">
        <v>6775656</v>
      </c>
      <c r="G250" s="4">
        <v>45711</v>
      </c>
      <c r="H250" s="3" t="s">
        <v>11</v>
      </c>
      <c r="I250" s="6" t="s">
        <v>526</v>
      </c>
    </row>
    <row r="251" spans="1:9" x14ac:dyDescent="0.3">
      <c r="A251" s="5" t="s">
        <v>527</v>
      </c>
      <c r="B251" s="3" t="s">
        <v>49</v>
      </c>
      <c r="C251" s="3" t="s">
        <v>19</v>
      </c>
      <c r="D251" s="3">
        <v>46.8</v>
      </c>
      <c r="E251" s="3">
        <v>167859.76</v>
      </c>
      <c r="F251" s="3">
        <f>Table1[[#This Row],[Unit Price]]*Table1[[#This Row],[Units Sold]]</f>
        <v>7855836.7680000002</v>
      </c>
      <c r="G251" s="4">
        <v>45431</v>
      </c>
      <c r="H251" s="3" t="s">
        <v>1090</v>
      </c>
      <c r="I251" s="6" t="s">
        <v>528</v>
      </c>
    </row>
    <row r="252" spans="1:9" x14ac:dyDescent="0.3">
      <c r="A252" s="5" t="s">
        <v>529</v>
      </c>
      <c r="B252" s="3" t="s">
        <v>36</v>
      </c>
      <c r="C252" s="3" t="s">
        <v>19</v>
      </c>
      <c r="D252" s="3">
        <v>46.8</v>
      </c>
      <c r="E252" s="3">
        <v>155703.70000000001</v>
      </c>
      <c r="F252" s="3">
        <f>Table1[[#This Row],[Unit Price]]*Table1[[#This Row],[Units Sold]]</f>
        <v>7286933.1600000001</v>
      </c>
      <c r="G252" s="4">
        <v>45402</v>
      </c>
      <c r="H252" s="3" t="s">
        <v>51</v>
      </c>
      <c r="I252" s="6" t="s">
        <v>530</v>
      </c>
    </row>
    <row r="253" spans="1:9" x14ac:dyDescent="0.3">
      <c r="A253" s="5" t="s">
        <v>531</v>
      </c>
      <c r="B253" s="3" t="s">
        <v>13</v>
      </c>
      <c r="C253" s="3" t="s">
        <v>25</v>
      </c>
      <c r="D253" s="3">
        <v>25</v>
      </c>
      <c r="E253" s="3">
        <v>201993.93</v>
      </c>
      <c r="F253" s="3">
        <v>5049848.25</v>
      </c>
      <c r="G253" s="4">
        <v>45153</v>
      </c>
      <c r="H253" s="3" t="s">
        <v>15</v>
      </c>
      <c r="I253" s="6" t="s">
        <v>532</v>
      </c>
    </row>
    <row r="254" spans="1:9" x14ac:dyDescent="0.3">
      <c r="A254" s="5" t="s">
        <v>533</v>
      </c>
      <c r="B254" s="3" t="s">
        <v>39</v>
      </c>
      <c r="C254" s="3" t="s">
        <v>98</v>
      </c>
      <c r="D254" s="3">
        <v>18</v>
      </c>
      <c r="E254" s="3">
        <v>92796.78</v>
      </c>
      <c r="F254" s="3">
        <v>1670342.04</v>
      </c>
      <c r="G254" s="4">
        <v>45429</v>
      </c>
      <c r="H254" s="3" t="s">
        <v>15</v>
      </c>
      <c r="I254" s="6" t="s">
        <v>1091</v>
      </c>
    </row>
    <row r="255" spans="1:9" x14ac:dyDescent="0.3">
      <c r="A255" s="5" t="s">
        <v>534</v>
      </c>
      <c r="B255" s="3" t="s">
        <v>22</v>
      </c>
      <c r="C255" s="3" t="s">
        <v>29</v>
      </c>
      <c r="D255" s="3">
        <v>46.8</v>
      </c>
      <c r="E255" s="3">
        <v>7020.25</v>
      </c>
      <c r="F255" s="3">
        <f>Table1[[#This Row],[Unit Price]]*Table1[[#This Row],[Units Sold]]</f>
        <v>328547.69999999995</v>
      </c>
      <c r="G255" s="4">
        <v>45157</v>
      </c>
      <c r="H255" s="3" t="s">
        <v>51</v>
      </c>
      <c r="I255" s="6" t="s">
        <v>535</v>
      </c>
    </row>
    <row r="256" spans="1:9" x14ac:dyDescent="0.3">
      <c r="A256" s="5" t="s">
        <v>536</v>
      </c>
      <c r="B256" s="3" t="s">
        <v>93</v>
      </c>
      <c r="C256" s="3" t="s">
        <v>25</v>
      </c>
      <c r="D256" s="3">
        <v>46.8</v>
      </c>
      <c r="E256" s="3">
        <v>76709.94</v>
      </c>
      <c r="F256" s="3">
        <f>Table1[[#This Row],[Unit Price]]*Table1[[#This Row],[Units Sold]]</f>
        <v>3590025.1919999998</v>
      </c>
      <c r="G256" s="4">
        <v>45560</v>
      </c>
      <c r="H256" s="3" t="s">
        <v>30</v>
      </c>
      <c r="I256" s="6" t="s">
        <v>537</v>
      </c>
    </row>
    <row r="257" spans="1:9" x14ac:dyDescent="0.3">
      <c r="A257" s="5" t="s">
        <v>538</v>
      </c>
      <c r="B257" s="3" t="s">
        <v>46</v>
      </c>
      <c r="C257" s="3" t="s">
        <v>25</v>
      </c>
      <c r="D257" s="3">
        <v>46.8</v>
      </c>
      <c r="E257" s="3">
        <v>1403.13</v>
      </c>
      <c r="F257" s="3">
        <f>Table1[[#This Row],[Unit Price]]*Table1[[#This Row],[Units Sold]]</f>
        <v>65666.483999999997</v>
      </c>
      <c r="G257" s="4">
        <v>45554</v>
      </c>
      <c r="H257" s="3" t="s">
        <v>11</v>
      </c>
      <c r="I257" s="6" t="s">
        <v>539</v>
      </c>
    </row>
    <row r="258" spans="1:9" x14ac:dyDescent="0.3">
      <c r="A258" s="5" t="s">
        <v>540</v>
      </c>
      <c r="B258" s="3" t="s">
        <v>230</v>
      </c>
      <c r="C258" s="3" t="s">
        <v>19</v>
      </c>
      <c r="D258" s="3">
        <v>46.8</v>
      </c>
      <c r="E258" s="3">
        <v>65761.440000000002</v>
      </c>
      <c r="F258" s="3">
        <f>Table1[[#This Row],[Unit Price]]*Table1[[#This Row],[Units Sold]]</f>
        <v>3077635.392</v>
      </c>
      <c r="G258" s="4">
        <v>45269</v>
      </c>
      <c r="H258" s="3" t="s">
        <v>15</v>
      </c>
      <c r="I258" s="6" t="s">
        <v>541</v>
      </c>
    </row>
    <row r="259" spans="1:9" x14ac:dyDescent="0.3">
      <c r="A259" s="5" t="s">
        <v>542</v>
      </c>
      <c r="B259" s="3" t="s">
        <v>230</v>
      </c>
      <c r="C259" s="3" t="s">
        <v>50</v>
      </c>
      <c r="D259" s="3">
        <v>46.8</v>
      </c>
      <c r="E259" s="3">
        <v>22372.34</v>
      </c>
      <c r="F259" s="3">
        <f>Table1[[#This Row],[Unit Price]]*Table1[[#This Row],[Units Sold]]</f>
        <v>1047025.512</v>
      </c>
      <c r="G259" s="4">
        <v>45399</v>
      </c>
      <c r="H259" s="3" t="s">
        <v>30</v>
      </c>
      <c r="I259" s="6" t="s">
        <v>543</v>
      </c>
    </row>
    <row r="260" spans="1:9" x14ac:dyDescent="0.3">
      <c r="A260" s="5" t="s">
        <v>544</v>
      </c>
      <c r="B260" s="3" t="s">
        <v>57</v>
      </c>
      <c r="C260" s="3" t="s">
        <v>29</v>
      </c>
      <c r="D260" s="3">
        <v>46.8</v>
      </c>
      <c r="E260" s="3">
        <v>127397.37</v>
      </c>
      <c r="F260" s="3">
        <f>Table1[[#This Row],[Unit Price]]*Table1[[#This Row],[Units Sold]]</f>
        <v>5962196.9159999993</v>
      </c>
      <c r="G260" s="4">
        <v>45547</v>
      </c>
      <c r="H260" s="3" t="s">
        <v>1090</v>
      </c>
      <c r="I260" s="6" t="s">
        <v>545</v>
      </c>
    </row>
    <row r="261" spans="1:9" x14ac:dyDescent="0.3">
      <c r="A261" s="5" t="s">
        <v>546</v>
      </c>
      <c r="B261" s="3" t="s">
        <v>115</v>
      </c>
      <c r="C261" s="3" t="s">
        <v>25</v>
      </c>
      <c r="D261" s="3">
        <v>46.8</v>
      </c>
      <c r="E261" s="3">
        <v>210265.27</v>
      </c>
      <c r="F261" s="3">
        <f>Table1[[#This Row],[Unit Price]]*Table1[[#This Row],[Units Sold]]</f>
        <v>9840414.6359999981</v>
      </c>
      <c r="G261" s="4">
        <v>45342</v>
      </c>
      <c r="H261" s="3" t="s">
        <v>15</v>
      </c>
      <c r="I261" s="6" t="s">
        <v>547</v>
      </c>
    </row>
    <row r="262" spans="1:9" x14ac:dyDescent="0.3">
      <c r="A262" s="5" t="s">
        <v>1085</v>
      </c>
      <c r="B262" s="3" t="s">
        <v>49</v>
      </c>
      <c r="C262" s="3" t="s">
        <v>29</v>
      </c>
      <c r="D262" s="3">
        <v>49</v>
      </c>
      <c r="E262" s="3">
        <v>155703.70000000001</v>
      </c>
      <c r="F262" s="3">
        <f>Table1[[#This Row],[Unit Price]]*Table1[[#This Row],[Units Sold]]</f>
        <v>7629481.3000000007</v>
      </c>
      <c r="G262" s="4">
        <v>45175</v>
      </c>
      <c r="H262" s="3" t="s">
        <v>1090</v>
      </c>
      <c r="I262" s="6" t="s">
        <v>548</v>
      </c>
    </row>
    <row r="263" spans="1:9" x14ac:dyDescent="0.3">
      <c r="A263" s="5" t="s">
        <v>549</v>
      </c>
      <c r="B263" s="3" t="s">
        <v>93</v>
      </c>
      <c r="C263" s="3" t="s">
        <v>76</v>
      </c>
      <c r="D263" s="3">
        <v>21</v>
      </c>
      <c r="E263" s="3">
        <v>162578.47</v>
      </c>
      <c r="F263" s="3">
        <v>3414147.87</v>
      </c>
      <c r="G263" s="4">
        <v>45418</v>
      </c>
      <c r="H263" s="3" t="s">
        <v>30</v>
      </c>
      <c r="I263" s="6" t="s">
        <v>550</v>
      </c>
    </row>
    <row r="264" spans="1:9" x14ac:dyDescent="0.3">
      <c r="A264" s="5" t="s">
        <v>551</v>
      </c>
      <c r="B264" s="3" t="s">
        <v>115</v>
      </c>
      <c r="C264" s="3" t="s">
        <v>50</v>
      </c>
      <c r="D264" s="3">
        <v>46.8</v>
      </c>
      <c r="E264" s="3">
        <v>18546.560000000001</v>
      </c>
      <c r="F264" s="3">
        <f>Table1[[#This Row],[Unit Price]]*Table1[[#This Row],[Units Sold]]</f>
        <v>867979.00800000003</v>
      </c>
      <c r="G264" s="4">
        <v>45509</v>
      </c>
      <c r="H264" s="3" t="s">
        <v>1090</v>
      </c>
      <c r="I264" s="6" t="s">
        <v>552</v>
      </c>
    </row>
    <row r="265" spans="1:9" x14ac:dyDescent="0.3">
      <c r="A265" s="5" t="s">
        <v>553</v>
      </c>
      <c r="B265" s="3" t="s">
        <v>13</v>
      </c>
      <c r="C265" s="3" t="s">
        <v>29</v>
      </c>
      <c r="D265" s="3">
        <v>46.8</v>
      </c>
      <c r="E265" s="3">
        <v>268318.42</v>
      </c>
      <c r="F265" s="3">
        <f>Table1[[#This Row],[Unit Price]]*Table1[[#This Row],[Units Sold]]</f>
        <v>12557302.055999998</v>
      </c>
      <c r="G265" s="4">
        <v>45467</v>
      </c>
      <c r="H265" s="3" t="s">
        <v>30</v>
      </c>
      <c r="I265" s="6" t="s">
        <v>554</v>
      </c>
    </row>
    <row r="266" spans="1:9" x14ac:dyDescent="0.3">
      <c r="A266" s="5" t="s">
        <v>555</v>
      </c>
      <c r="B266" s="3" t="s">
        <v>115</v>
      </c>
      <c r="C266" s="3" t="s">
        <v>1089</v>
      </c>
      <c r="D266" s="3">
        <v>57</v>
      </c>
      <c r="E266" s="3">
        <v>295848.11</v>
      </c>
      <c r="F266" s="3">
        <v>16863342.27</v>
      </c>
      <c r="G266" s="4">
        <v>45711</v>
      </c>
      <c r="H266" s="3" t="s">
        <v>1090</v>
      </c>
      <c r="I266" s="6" t="s">
        <v>556</v>
      </c>
    </row>
    <row r="267" spans="1:9" x14ac:dyDescent="0.3">
      <c r="A267" s="5" t="s">
        <v>557</v>
      </c>
      <c r="B267" s="3" t="s">
        <v>18</v>
      </c>
      <c r="C267" s="3" t="s">
        <v>25</v>
      </c>
      <c r="D267" s="3">
        <v>46.8</v>
      </c>
      <c r="E267" s="3">
        <v>141885.32</v>
      </c>
      <c r="F267" s="3">
        <f>Table1[[#This Row],[Unit Price]]*Table1[[#This Row],[Units Sold]]</f>
        <v>6640232.9759999998</v>
      </c>
      <c r="G267" s="4">
        <v>45545</v>
      </c>
      <c r="H267" s="3" t="s">
        <v>11</v>
      </c>
      <c r="I267" s="6" t="s">
        <v>558</v>
      </c>
    </row>
    <row r="268" spans="1:9" x14ac:dyDescent="0.3">
      <c r="A268" s="5" t="s">
        <v>559</v>
      </c>
      <c r="B268" s="3" t="s">
        <v>83</v>
      </c>
      <c r="C268" s="3" t="s">
        <v>1089</v>
      </c>
      <c r="D268" s="3">
        <v>46.8</v>
      </c>
      <c r="E268" s="3">
        <v>86483.67</v>
      </c>
      <c r="F268" s="3">
        <f>Table1[[#This Row],[Unit Price]]*Table1[[#This Row],[Units Sold]]</f>
        <v>4047435.7559999996</v>
      </c>
      <c r="G268" s="4">
        <v>45335</v>
      </c>
      <c r="H268" s="3" t="s">
        <v>15</v>
      </c>
      <c r="I268" s="6" t="s">
        <v>1091</v>
      </c>
    </row>
    <row r="269" spans="1:9" x14ac:dyDescent="0.3">
      <c r="A269" s="5" t="s">
        <v>560</v>
      </c>
      <c r="B269" s="3" t="s">
        <v>143</v>
      </c>
      <c r="C269" s="3" t="s">
        <v>50</v>
      </c>
      <c r="D269" s="3">
        <v>46.8</v>
      </c>
      <c r="E269" s="3">
        <v>54404.41</v>
      </c>
      <c r="F269" s="3">
        <f>Table1[[#This Row],[Unit Price]]*Table1[[#This Row],[Units Sold]]</f>
        <v>2546126.3879999998</v>
      </c>
      <c r="G269" s="4">
        <v>45759</v>
      </c>
      <c r="H269" s="3" t="s">
        <v>15</v>
      </c>
      <c r="I269" s="7" t="s">
        <v>561</v>
      </c>
    </row>
    <row r="270" spans="1:9" x14ac:dyDescent="0.3">
      <c r="A270" s="5" t="s">
        <v>562</v>
      </c>
      <c r="B270" s="3" t="s">
        <v>46</v>
      </c>
      <c r="C270" s="3" t="s">
        <v>98</v>
      </c>
      <c r="D270" s="3">
        <v>46.8</v>
      </c>
      <c r="E270" s="3">
        <v>41060.949999999997</v>
      </c>
      <c r="F270" s="3">
        <f>Table1[[#This Row],[Unit Price]]*Table1[[#This Row],[Units Sold]]</f>
        <v>1921652.4599999997</v>
      </c>
      <c r="G270" s="4">
        <v>45602</v>
      </c>
      <c r="H270" s="3" t="s">
        <v>30</v>
      </c>
      <c r="I270" s="6" t="s">
        <v>563</v>
      </c>
    </row>
    <row r="271" spans="1:9" x14ac:dyDescent="0.3">
      <c r="A271" s="5" t="s">
        <v>564</v>
      </c>
      <c r="B271" s="3" t="s">
        <v>36</v>
      </c>
      <c r="C271" s="3" t="s">
        <v>1089</v>
      </c>
      <c r="D271" s="3">
        <v>46.8</v>
      </c>
      <c r="E271" s="3">
        <v>192636.74</v>
      </c>
      <c r="F271" s="3">
        <f>Table1[[#This Row],[Unit Price]]*Table1[[#This Row],[Units Sold]]</f>
        <v>9015399.4319999982</v>
      </c>
      <c r="G271" s="4">
        <v>45646</v>
      </c>
      <c r="H271" s="3" t="s">
        <v>1090</v>
      </c>
      <c r="I271" s="6" t="s">
        <v>565</v>
      </c>
    </row>
    <row r="272" spans="1:9" x14ac:dyDescent="0.3">
      <c r="A272" s="5" t="s">
        <v>566</v>
      </c>
      <c r="B272" s="3" t="s">
        <v>230</v>
      </c>
      <c r="C272" s="3" t="s">
        <v>25</v>
      </c>
      <c r="D272" s="3">
        <v>58</v>
      </c>
      <c r="E272" s="3">
        <v>155703.70000000001</v>
      </c>
      <c r="F272" s="3">
        <f>Table1[[#This Row],[Unit Price]]*Table1[[#This Row],[Units Sold]]</f>
        <v>9030814.6000000015</v>
      </c>
      <c r="G272" s="4">
        <v>45592</v>
      </c>
      <c r="H272" s="3" t="s">
        <v>51</v>
      </c>
      <c r="I272" s="6" t="s">
        <v>567</v>
      </c>
    </row>
    <row r="273" spans="1:9" x14ac:dyDescent="0.3">
      <c r="A273" s="5" t="s">
        <v>568</v>
      </c>
      <c r="B273" s="3" t="s">
        <v>1086</v>
      </c>
      <c r="C273" s="3" t="s">
        <v>25</v>
      </c>
      <c r="D273" s="3">
        <v>69</v>
      </c>
      <c r="E273" s="3">
        <v>218922.21</v>
      </c>
      <c r="F273" s="3">
        <v>15105632.49</v>
      </c>
      <c r="G273" s="4">
        <v>45210</v>
      </c>
      <c r="H273" s="3" t="s">
        <v>15</v>
      </c>
      <c r="I273" s="6" t="s">
        <v>569</v>
      </c>
    </row>
    <row r="274" spans="1:9" x14ac:dyDescent="0.3">
      <c r="A274" s="5" t="s">
        <v>570</v>
      </c>
      <c r="B274" s="3" t="s">
        <v>57</v>
      </c>
      <c r="C274" s="3" t="s">
        <v>19</v>
      </c>
      <c r="D274" s="3">
        <v>46.8</v>
      </c>
      <c r="E274" s="3">
        <v>289152.88</v>
      </c>
      <c r="F274" s="3">
        <f>Table1[[#This Row],[Unit Price]]*Table1[[#This Row],[Units Sold]]</f>
        <v>13532354.784</v>
      </c>
      <c r="G274" s="4">
        <v>45217</v>
      </c>
      <c r="H274" s="3" t="s">
        <v>1090</v>
      </c>
      <c r="I274" s="6" t="s">
        <v>571</v>
      </c>
    </row>
    <row r="275" spans="1:9" x14ac:dyDescent="0.3">
      <c r="A275" s="5" t="s">
        <v>1085</v>
      </c>
      <c r="B275" s="3" t="s">
        <v>143</v>
      </c>
      <c r="C275" s="3" t="s">
        <v>50</v>
      </c>
      <c r="D275" s="3">
        <v>46.8</v>
      </c>
      <c r="E275" s="3">
        <v>112651.05</v>
      </c>
      <c r="F275" s="3">
        <f>Table1[[#This Row],[Unit Price]]*Table1[[#This Row],[Units Sold]]</f>
        <v>5272069.1399999997</v>
      </c>
      <c r="G275" s="4">
        <v>45193</v>
      </c>
      <c r="H275" s="3" t="s">
        <v>1090</v>
      </c>
      <c r="I275" s="6" t="s">
        <v>572</v>
      </c>
    </row>
    <row r="276" spans="1:9" x14ac:dyDescent="0.3">
      <c r="A276" s="5" t="s">
        <v>573</v>
      </c>
      <c r="B276" s="3" t="s">
        <v>57</v>
      </c>
      <c r="C276" s="3" t="s">
        <v>19</v>
      </c>
      <c r="D276" s="3">
        <v>46.8</v>
      </c>
      <c r="E276" s="3">
        <v>267454.40999999997</v>
      </c>
      <c r="F276" s="3">
        <f>Table1[[#This Row],[Unit Price]]*Table1[[#This Row],[Units Sold]]</f>
        <v>12516866.387999998</v>
      </c>
      <c r="G276" s="4">
        <v>45423</v>
      </c>
      <c r="H276" s="3" t="s">
        <v>11</v>
      </c>
      <c r="I276" s="6" t="s">
        <v>574</v>
      </c>
    </row>
    <row r="277" spans="1:9" x14ac:dyDescent="0.3">
      <c r="A277" s="5" t="s">
        <v>575</v>
      </c>
      <c r="B277" s="3" t="s">
        <v>49</v>
      </c>
      <c r="C277" s="3" t="s">
        <v>25</v>
      </c>
      <c r="D277" s="3">
        <v>46.8</v>
      </c>
      <c r="E277" s="3">
        <v>134836.87</v>
      </c>
      <c r="F277" s="3">
        <f>Table1[[#This Row],[Unit Price]]*Table1[[#This Row],[Units Sold]]</f>
        <v>6310365.5159999998</v>
      </c>
      <c r="G277" s="4">
        <v>45407</v>
      </c>
      <c r="H277" s="3" t="s">
        <v>51</v>
      </c>
      <c r="I277" s="6" t="s">
        <v>576</v>
      </c>
    </row>
    <row r="278" spans="1:9" x14ac:dyDescent="0.3">
      <c r="A278" s="5" t="s">
        <v>577</v>
      </c>
      <c r="B278" s="3" t="s">
        <v>87</v>
      </c>
      <c r="C278" s="3" t="s">
        <v>76</v>
      </c>
      <c r="D278" s="3">
        <v>46.8</v>
      </c>
      <c r="E278" s="3">
        <v>275175.96999999997</v>
      </c>
      <c r="F278" s="3">
        <f>Table1[[#This Row],[Unit Price]]*Table1[[#This Row],[Units Sold]]</f>
        <v>12878235.395999998</v>
      </c>
      <c r="G278" s="4">
        <v>45735</v>
      </c>
      <c r="H278" s="3" t="s">
        <v>15</v>
      </c>
      <c r="I278" s="6" t="s">
        <v>578</v>
      </c>
    </row>
    <row r="279" spans="1:9" x14ac:dyDescent="0.3">
      <c r="A279" s="5" t="s">
        <v>579</v>
      </c>
      <c r="B279" s="3" t="s">
        <v>36</v>
      </c>
      <c r="C279" s="3" t="s">
        <v>25</v>
      </c>
      <c r="D279" s="3">
        <v>46.8</v>
      </c>
      <c r="E279" s="3">
        <v>113560.16</v>
      </c>
      <c r="F279" s="3">
        <f>Table1[[#This Row],[Unit Price]]*Table1[[#This Row],[Units Sold]]</f>
        <v>5314615.4879999999</v>
      </c>
      <c r="G279" s="4">
        <v>45381</v>
      </c>
      <c r="H279" s="3" t="s">
        <v>11</v>
      </c>
      <c r="I279" s="6" t="s">
        <v>580</v>
      </c>
    </row>
    <row r="280" spans="1:9" x14ac:dyDescent="0.3">
      <c r="A280" s="5" t="s">
        <v>581</v>
      </c>
      <c r="B280" s="3" t="s">
        <v>49</v>
      </c>
      <c r="C280" s="3" t="s">
        <v>19</v>
      </c>
      <c r="D280" s="3">
        <v>46.8</v>
      </c>
      <c r="E280" s="3">
        <v>24534.87</v>
      </c>
      <c r="F280" s="3">
        <f>Table1[[#This Row],[Unit Price]]*Table1[[#This Row],[Units Sold]]</f>
        <v>1148231.916</v>
      </c>
      <c r="G280" s="4">
        <v>45551</v>
      </c>
      <c r="H280" s="3" t="s">
        <v>51</v>
      </c>
      <c r="I280" s="6" t="s">
        <v>582</v>
      </c>
    </row>
    <row r="281" spans="1:9" x14ac:dyDescent="0.3">
      <c r="A281" s="5" t="s">
        <v>583</v>
      </c>
      <c r="B281" s="3" t="s">
        <v>97</v>
      </c>
      <c r="C281" s="3" t="s">
        <v>19</v>
      </c>
      <c r="D281" s="3">
        <v>54</v>
      </c>
      <c r="E281" s="3">
        <v>289261.24</v>
      </c>
      <c r="F281" s="3">
        <v>15620106.960000001</v>
      </c>
      <c r="G281" s="4">
        <v>45847</v>
      </c>
      <c r="H281" s="3" t="s">
        <v>15</v>
      </c>
      <c r="I281" s="6" t="s">
        <v>585</v>
      </c>
    </row>
    <row r="282" spans="1:9" x14ac:dyDescent="0.3">
      <c r="A282" s="5" t="s">
        <v>586</v>
      </c>
      <c r="B282" s="3" t="s">
        <v>49</v>
      </c>
      <c r="C282" s="3" t="s">
        <v>50</v>
      </c>
      <c r="D282" s="3">
        <v>46.8</v>
      </c>
      <c r="E282" s="3">
        <v>155703.70000000001</v>
      </c>
      <c r="F282" s="3">
        <f>Table1[[#This Row],[Unit Price]]*Table1[[#This Row],[Units Sold]]</f>
        <v>7286933.1600000001</v>
      </c>
      <c r="G282" s="4">
        <v>45401</v>
      </c>
      <c r="H282" s="3" t="s">
        <v>11</v>
      </c>
      <c r="I282" s="6" t="s">
        <v>1091</v>
      </c>
    </row>
    <row r="283" spans="1:9" x14ac:dyDescent="0.3">
      <c r="A283" s="5" t="s">
        <v>587</v>
      </c>
      <c r="B283" s="3" t="s">
        <v>49</v>
      </c>
      <c r="C283" s="3" t="s">
        <v>98</v>
      </c>
      <c r="D283" s="3">
        <v>46.8</v>
      </c>
      <c r="E283" s="3">
        <v>262428.84000000003</v>
      </c>
      <c r="F283" s="3">
        <f>Table1[[#This Row],[Unit Price]]*Table1[[#This Row],[Units Sold]]</f>
        <v>12281669.712000001</v>
      </c>
      <c r="G283" s="4">
        <v>45704</v>
      </c>
      <c r="H283" s="3" t="s">
        <v>51</v>
      </c>
      <c r="I283" s="6" t="s">
        <v>588</v>
      </c>
    </row>
    <row r="284" spans="1:9" x14ac:dyDescent="0.3">
      <c r="A284" s="5" t="s">
        <v>589</v>
      </c>
      <c r="B284" s="3" t="s">
        <v>87</v>
      </c>
      <c r="C284" s="3" t="s">
        <v>76</v>
      </c>
      <c r="D284" s="3">
        <v>46.8</v>
      </c>
      <c r="E284" s="3">
        <v>40330.449999999997</v>
      </c>
      <c r="F284" s="3">
        <f>Table1[[#This Row],[Unit Price]]*Table1[[#This Row],[Units Sold]]</f>
        <v>1887465.0599999998</v>
      </c>
      <c r="G284" s="4">
        <v>45230</v>
      </c>
      <c r="H284" s="3" t="s">
        <v>15</v>
      </c>
      <c r="I284" s="6" t="s">
        <v>590</v>
      </c>
    </row>
    <row r="285" spans="1:9" x14ac:dyDescent="0.3">
      <c r="A285" s="5" t="s">
        <v>591</v>
      </c>
      <c r="B285" s="3" t="s">
        <v>230</v>
      </c>
      <c r="C285" s="3" t="s">
        <v>59</v>
      </c>
      <c r="D285" s="3">
        <v>46.8</v>
      </c>
      <c r="E285" s="3">
        <v>258155.83</v>
      </c>
      <c r="F285" s="3">
        <f>Table1[[#This Row],[Unit Price]]*Table1[[#This Row],[Units Sold]]</f>
        <v>12081692.843999999</v>
      </c>
      <c r="G285" s="4">
        <v>45272</v>
      </c>
      <c r="H285" s="3" t="s">
        <v>51</v>
      </c>
      <c r="I285" s="6" t="s">
        <v>592</v>
      </c>
    </row>
    <row r="286" spans="1:9" x14ac:dyDescent="0.3">
      <c r="A286" s="5" t="s">
        <v>1088</v>
      </c>
      <c r="B286" s="3" t="s">
        <v>62</v>
      </c>
      <c r="C286" s="3" t="s">
        <v>25</v>
      </c>
      <c r="D286" s="3">
        <v>71</v>
      </c>
      <c r="E286" s="3">
        <v>36030.629999999997</v>
      </c>
      <c r="F286" s="3">
        <v>2558174.73</v>
      </c>
      <c r="G286" s="4">
        <v>45585</v>
      </c>
      <c r="H286" s="3" t="s">
        <v>1090</v>
      </c>
      <c r="I286" s="6" t="s">
        <v>594</v>
      </c>
    </row>
    <row r="287" spans="1:9" x14ac:dyDescent="0.3">
      <c r="A287" s="5" t="s">
        <v>595</v>
      </c>
      <c r="B287" s="3" t="s">
        <v>62</v>
      </c>
      <c r="C287" s="3" t="s">
        <v>98</v>
      </c>
      <c r="D287" s="3">
        <v>46.8</v>
      </c>
      <c r="E287" s="3">
        <v>297857.61</v>
      </c>
      <c r="F287" s="3">
        <f>Table1[[#This Row],[Unit Price]]*Table1[[#This Row],[Units Sold]]</f>
        <v>13939736.147999998</v>
      </c>
      <c r="G287" s="4">
        <v>45513</v>
      </c>
      <c r="H287" s="3" t="s">
        <v>30</v>
      </c>
      <c r="I287" s="6" t="s">
        <v>596</v>
      </c>
    </row>
    <row r="288" spans="1:9" x14ac:dyDescent="0.3">
      <c r="A288" s="5" t="s">
        <v>1085</v>
      </c>
      <c r="B288" s="3" t="s">
        <v>93</v>
      </c>
      <c r="C288" s="3" t="s">
        <v>50</v>
      </c>
      <c r="D288" s="3">
        <v>46.8</v>
      </c>
      <c r="E288" s="3">
        <v>118221.06</v>
      </c>
      <c r="F288" s="3">
        <f>Table1[[#This Row],[Unit Price]]*Table1[[#This Row],[Units Sold]]</f>
        <v>5532745.608</v>
      </c>
      <c r="G288" s="4">
        <v>45429</v>
      </c>
      <c r="H288" s="3" t="s">
        <v>30</v>
      </c>
      <c r="I288" s="6" t="s">
        <v>597</v>
      </c>
    </row>
    <row r="289" spans="1:9" x14ac:dyDescent="0.3">
      <c r="A289" s="5" t="s">
        <v>598</v>
      </c>
      <c r="B289" s="3" t="s">
        <v>49</v>
      </c>
      <c r="C289" s="3" t="s">
        <v>29</v>
      </c>
      <c r="D289" s="3">
        <v>11</v>
      </c>
      <c r="E289" s="3">
        <v>38640.449999999997</v>
      </c>
      <c r="F289" s="3">
        <v>425044.95</v>
      </c>
      <c r="G289" s="4">
        <v>45506</v>
      </c>
      <c r="H289" s="3" t="s">
        <v>1090</v>
      </c>
      <c r="I289" s="6" t="s">
        <v>599</v>
      </c>
    </row>
    <row r="290" spans="1:9" x14ac:dyDescent="0.3">
      <c r="A290" s="5" t="s">
        <v>600</v>
      </c>
      <c r="B290" s="3" t="s">
        <v>62</v>
      </c>
      <c r="C290" s="3" t="s">
        <v>98</v>
      </c>
      <c r="D290" s="3">
        <v>46.8</v>
      </c>
      <c r="E290" s="3">
        <v>293627.95</v>
      </c>
      <c r="F290" s="3">
        <f>Table1[[#This Row],[Unit Price]]*Table1[[#This Row],[Units Sold]]</f>
        <v>13741788.060000001</v>
      </c>
      <c r="G290" s="4">
        <v>45149</v>
      </c>
      <c r="H290" s="3" t="s">
        <v>51</v>
      </c>
      <c r="I290" s="6" t="s">
        <v>601</v>
      </c>
    </row>
    <row r="291" spans="1:9" x14ac:dyDescent="0.3">
      <c r="A291" s="5" t="s">
        <v>602</v>
      </c>
      <c r="B291" s="3" t="s">
        <v>39</v>
      </c>
      <c r="C291" s="3" t="s">
        <v>25</v>
      </c>
      <c r="D291" s="3">
        <v>66</v>
      </c>
      <c r="E291" s="3">
        <v>250529.07</v>
      </c>
      <c r="F291" s="3">
        <v>16534918.619999999</v>
      </c>
      <c r="G291" s="4">
        <v>45153</v>
      </c>
      <c r="H291" s="3" t="s">
        <v>1090</v>
      </c>
      <c r="I291" s="6" t="s">
        <v>603</v>
      </c>
    </row>
    <row r="292" spans="1:9" x14ac:dyDescent="0.3">
      <c r="A292" s="5" t="s">
        <v>604</v>
      </c>
      <c r="B292" s="3" t="s">
        <v>93</v>
      </c>
      <c r="C292" s="3" t="s">
        <v>98</v>
      </c>
      <c r="D292" s="3">
        <v>56</v>
      </c>
      <c r="E292" s="3">
        <v>155703.70000000001</v>
      </c>
      <c r="F292" s="3">
        <f>Table1[[#This Row],[Unit Price]]*Table1[[#This Row],[Units Sold]]</f>
        <v>8719407.2000000011</v>
      </c>
      <c r="G292" s="4">
        <v>45148</v>
      </c>
      <c r="H292" s="3" t="s">
        <v>30</v>
      </c>
      <c r="I292" s="7" t="s">
        <v>605</v>
      </c>
    </row>
    <row r="293" spans="1:9" x14ac:dyDescent="0.3">
      <c r="A293" s="5" t="s">
        <v>606</v>
      </c>
      <c r="B293" s="3" t="s">
        <v>39</v>
      </c>
      <c r="C293" s="3" t="s">
        <v>1089</v>
      </c>
      <c r="D293" s="3">
        <v>46.8</v>
      </c>
      <c r="E293" s="3">
        <v>226975.73</v>
      </c>
      <c r="F293" s="3">
        <f>Table1[[#This Row],[Unit Price]]*Table1[[#This Row],[Units Sold]]</f>
        <v>10622464.163999999</v>
      </c>
      <c r="G293" s="4">
        <v>45224</v>
      </c>
      <c r="H293" s="3" t="s">
        <v>30</v>
      </c>
      <c r="I293" s="6" t="s">
        <v>607</v>
      </c>
    </row>
    <row r="294" spans="1:9" x14ac:dyDescent="0.3">
      <c r="A294" s="5" t="s">
        <v>608</v>
      </c>
      <c r="B294" s="3" t="s">
        <v>66</v>
      </c>
      <c r="C294" s="3" t="s">
        <v>19</v>
      </c>
      <c r="D294" s="3">
        <v>45</v>
      </c>
      <c r="E294" s="3">
        <v>293557.96000000002</v>
      </c>
      <c r="F294" s="3">
        <v>13210108.199999999</v>
      </c>
      <c r="G294" s="4">
        <v>45672</v>
      </c>
      <c r="H294" s="3" t="s">
        <v>51</v>
      </c>
      <c r="I294" s="6" t="s">
        <v>609</v>
      </c>
    </row>
    <row r="295" spans="1:9" x14ac:dyDescent="0.3">
      <c r="A295" s="5" t="s">
        <v>610</v>
      </c>
      <c r="B295" s="3" t="s">
        <v>39</v>
      </c>
      <c r="C295" s="3" t="s">
        <v>19</v>
      </c>
      <c r="D295" s="3">
        <v>54</v>
      </c>
      <c r="E295" s="3">
        <v>139169.67000000001</v>
      </c>
      <c r="F295" s="3">
        <v>7515162.1799999997</v>
      </c>
      <c r="G295" s="4">
        <v>45376</v>
      </c>
      <c r="H295" s="3" t="s">
        <v>30</v>
      </c>
      <c r="I295" s="6" t="s">
        <v>611</v>
      </c>
    </row>
    <row r="296" spans="1:9" x14ac:dyDescent="0.3">
      <c r="A296" s="5" t="s">
        <v>612</v>
      </c>
      <c r="B296" s="3" t="s">
        <v>22</v>
      </c>
      <c r="C296" s="3" t="s">
        <v>25</v>
      </c>
      <c r="D296" s="3">
        <v>46.8</v>
      </c>
      <c r="E296" s="3">
        <v>215868.65</v>
      </c>
      <c r="F296" s="3">
        <f>Table1[[#This Row],[Unit Price]]*Table1[[#This Row],[Units Sold]]</f>
        <v>10102652.819999998</v>
      </c>
      <c r="G296" s="4">
        <v>45742</v>
      </c>
      <c r="H296" s="3" t="s">
        <v>1090</v>
      </c>
      <c r="I296" s="6" t="s">
        <v>1091</v>
      </c>
    </row>
    <row r="297" spans="1:9" x14ac:dyDescent="0.3">
      <c r="A297" s="5" t="s">
        <v>613</v>
      </c>
      <c r="B297" s="3" t="s">
        <v>115</v>
      </c>
      <c r="C297" s="3" t="s">
        <v>1089</v>
      </c>
      <c r="D297" s="3">
        <v>48</v>
      </c>
      <c r="E297" s="3">
        <v>127526.34</v>
      </c>
      <c r="F297" s="3">
        <v>6121264.3200000003</v>
      </c>
      <c r="G297" s="4">
        <v>45485</v>
      </c>
      <c r="H297" s="3" t="s">
        <v>51</v>
      </c>
      <c r="I297" s="6" t="s">
        <v>614</v>
      </c>
    </row>
    <row r="298" spans="1:9" x14ac:dyDescent="0.3">
      <c r="A298" s="5" t="s">
        <v>615</v>
      </c>
      <c r="B298" s="3" t="s">
        <v>33</v>
      </c>
      <c r="C298" s="3" t="s">
        <v>76</v>
      </c>
      <c r="D298" s="3">
        <v>50</v>
      </c>
      <c r="E298" s="3">
        <v>114093.3</v>
      </c>
      <c r="F298" s="3">
        <v>5704665</v>
      </c>
      <c r="G298" s="4">
        <v>45521</v>
      </c>
      <c r="H298" s="3" t="s">
        <v>1090</v>
      </c>
      <c r="I298" s="6" t="s">
        <v>616</v>
      </c>
    </row>
    <row r="299" spans="1:9" x14ac:dyDescent="0.3">
      <c r="A299" s="5" t="s">
        <v>617</v>
      </c>
      <c r="B299" s="3" t="s">
        <v>87</v>
      </c>
      <c r="C299" s="3" t="s">
        <v>19</v>
      </c>
      <c r="D299" s="3">
        <v>48</v>
      </c>
      <c r="E299" s="3">
        <v>69284.39</v>
      </c>
      <c r="F299" s="3">
        <v>3325650.72</v>
      </c>
      <c r="G299" s="4">
        <v>45472</v>
      </c>
      <c r="H299" s="3" t="s">
        <v>51</v>
      </c>
      <c r="I299" s="6" t="s">
        <v>618</v>
      </c>
    </row>
    <row r="300" spans="1:9" x14ac:dyDescent="0.3">
      <c r="A300" s="5" t="s">
        <v>515</v>
      </c>
      <c r="B300" s="3" t="s">
        <v>22</v>
      </c>
      <c r="C300" s="3" t="s">
        <v>50</v>
      </c>
      <c r="D300" s="3">
        <v>46.8</v>
      </c>
      <c r="E300" s="3">
        <v>138457.26999999999</v>
      </c>
      <c r="F300" s="3">
        <f>Table1[[#This Row],[Unit Price]]*Table1[[#This Row],[Units Sold]]</f>
        <v>6479800.2359999996</v>
      </c>
      <c r="G300" s="4">
        <v>45233</v>
      </c>
      <c r="H300" s="3" t="s">
        <v>30</v>
      </c>
      <c r="I300" s="6" t="s">
        <v>619</v>
      </c>
    </row>
    <row r="301" spans="1:9" x14ac:dyDescent="0.3">
      <c r="A301" s="5" t="s">
        <v>1085</v>
      </c>
      <c r="B301" s="3" t="s">
        <v>87</v>
      </c>
      <c r="C301" s="3" t="s">
        <v>19</v>
      </c>
      <c r="D301" s="3">
        <v>46.8</v>
      </c>
      <c r="E301" s="3">
        <v>46958.85</v>
      </c>
      <c r="F301" s="3">
        <f>Table1[[#This Row],[Unit Price]]*Table1[[#This Row],[Units Sold]]</f>
        <v>2197674.1799999997</v>
      </c>
      <c r="G301" s="4">
        <v>45588</v>
      </c>
      <c r="H301" s="3" t="s">
        <v>15</v>
      </c>
      <c r="I301" s="6" t="s">
        <v>620</v>
      </c>
    </row>
    <row r="302" spans="1:9" x14ac:dyDescent="0.3">
      <c r="A302" s="5" t="s">
        <v>621</v>
      </c>
      <c r="B302" s="3" t="s">
        <v>66</v>
      </c>
      <c r="C302" s="3" t="s">
        <v>59</v>
      </c>
      <c r="D302" s="3">
        <v>46.8</v>
      </c>
      <c r="E302" s="3">
        <v>155703.70000000001</v>
      </c>
      <c r="F302" s="3">
        <f>Table1[[#This Row],[Unit Price]]*Table1[[#This Row],[Units Sold]]</f>
        <v>7286933.1600000001</v>
      </c>
      <c r="G302" s="4">
        <v>45811</v>
      </c>
      <c r="H302" s="3" t="s">
        <v>51</v>
      </c>
      <c r="I302" s="6" t="s">
        <v>622</v>
      </c>
    </row>
    <row r="303" spans="1:9" x14ac:dyDescent="0.3">
      <c r="A303" s="5" t="s">
        <v>623</v>
      </c>
      <c r="B303" s="3" t="s">
        <v>49</v>
      </c>
      <c r="C303" s="3" t="s">
        <v>76</v>
      </c>
      <c r="D303" s="3">
        <v>19</v>
      </c>
      <c r="E303" s="3">
        <v>56949.9</v>
      </c>
      <c r="F303" s="3">
        <v>1082048.1000000001</v>
      </c>
      <c r="G303" s="4">
        <v>45518</v>
      </c>
      <c r="H303" s="3" t="s">
        <v>51</v>
      </c>
      <c r="I303" s="6" t="s">
        <v>624</v>
      </c>
    </row>
    <row r="304" spans="1:9" x14ac:dyDescent="0.3">
      <c r="A304" s="5" t="s">
        <v>625</v>
      </c>
      <c r="B304" s="3" t="s">
        <v>66</v>
      </c>
      <c r="C304" s="3" t="s">
        <v>59</v>
      </c>
      <c r="D304" s="3">
        <v>46.8</v>
      </c>
      <c r="E304" s="3">
        <v>262624.84999999998</v>
      </c>
      <c r="F304" s="3">
        <f>Table1[[#This Row],[Unit Price]]*Table1[[#This Row],[Units Sold]]</f>
        <v>12290842.979999999</v>
      </c>
      <c r="G304" s="4">
        <v>45226</v>
      </c>
      <c r="H304" s="3" t="s">
        <v>15</v>
      </c>
      <c r="I304" s="6" t="s">
        <v>626</v>
      </c>
    </row>
    <row r="305" spans="1:9" x14ac:dyDescent="0.3">
      <c r="A305" s="5" t="s">
        <v>627</v>
      </c>
      <c r="B305" s="3" t="s">
        <v>39</v>
      </c>
      <c r="C305" s="3" t="s">
        <v>59</v>
      </c>
      <c r="D305" s="3">
        <v>46.8</v>
      </c>
      <c r="E305" s="3">
        <v>229764.23</v>
      </c>
      <c r="F305" s="3">
        <f>Table1[[#This Row],[Unit Price]]*Table1[[#This Row],[Units Sold]]</f>
        <v>10752965.964</v>
      </c>
      <c r="G305" s="4">
        <v>45372</v>
      </c>
      <c r="H305" s="3" t="s">
        <v>30</v>
      </c>
      <c r="I305" s="6" t="s">
        <v>628</v>
      </c>
    </row>
    <row r="306" spans="1:9" x14ac:dyDescent="0.3">
      <c r="A306" s="5" t="s">
        <v>629</v>
      </c>
      <c r="B306" s="3" t="s">
        <v>46</v>
      </c>
      <c r="C306" s="3" t="s">
        <v>50</v>
      </c>
      <c r="D306" s="3">
        <v>46.8</v>
      </c>
      <c r="E306" s="3">
        <v>10149.09</v>
      </c>
      <c r="F306" s="3">
        <f>Table1[[#This Row],[Unit Price]]*Table1[[#This Row],[Units Sold]]</f>
        <v>474977.41199999995</v>
      </c>
      <c r="G306" s="4">
        <v>45841</v>
      </c>
      <c r="H306" s="3" t="s">
        <v>1090</v>
      </c>
      <c r="I306" s="6" t="s">
        <v>630</v>
      </c>
    </row>
    <row r="307" spans="1:9" x14ac:dyDescent="0.3">
      <c r="A307" s="5" t="s">
        <v>631</v>
      </c>
      <c r="B307" s="3" t="s">
        <v>87</v>
      </c>
      <c r="C307" s="3" t="s">
        <v>1089</v>
      </c>
      <c r="D307" s="3">
        <v>46.8</v>
      </c>
      <c r="E307" s="3">
        <v>198229.21</v>
      </c>
      <c r="F307" s="3">
        <f>Table1[[#This Row],[Unit Price]]*Table1[[#This Row],[Units Sold]]</f>
        <v>9277127.027999999</v>
      </c>
      <c r="G307" s="4">
        <v>45594</v>
      </c>
      <c r="H307" s="3" t="s">
        <v>11</v>
      </c>
      <c r="I307" s="6" t="s">
        <v>632</v>
      </c>
    </row>
    <row r="308" spans="1:9" x14ac:dyDescent="0.3">
      <c r="A308" s="5" t="s">
        <v>633</v>
      </c>
      <c r="B308" s="3" t="s">
        <v>87</v>
      </c>
      <c r="C308" s="3" t="s">
        <v>59</v>
      </c>
      <c r="D308" s="3">
        <v>79</v>
      </c>
      <c r="E308" s="3">
        <v>184669.5</v>
      </c>
      <c r="F308" s="3">
        <v>14588890.5</v>
      </c>
      <c r="G308" s="4">
        <v>45365</v>
      </c>
      <c r="H308" s="3" t="s">
        <v>15</v>
      </c>
      <c r="I308" s="6" t="s">
        <v>634</v>
      </c>
    </row>
    <row r="309" spans="1:9" x14ac:dyDescent="0.3">
      <c r="A309" s="5" t="s">
        <v>635</v>
      </c>
      <c r="B309" s="3" t="s">
        <v>62</v>
      </c>
      <c r="C309" s="3" t="s">
        <v>76</v>
      </c>
      <c r="D309" s="3">
        <v>11</v>
      </c>
      <c r="E309" s="3">
        <v>280903.26</v>
      </c>
      <c r="F309" s="3">
        <v>3089935.86</v>
      </c>
      <c r="G309" s="4">
        <v>45244</v>
      </c>
      <c r="H309" s="3" t="s">
        <v>11</v>
      </c>
      <c r="I309" s="6" t="s">
        <v>636</v>
      </c>
    </row>
    <row r="310" spans="1:9" x14ac:dyDescent="0.3">
      <c r="A310" s="5" t="s">
        <v>637</v>
      </c>
      <c r="B310" s="3" t="s">
        <v>97</v>
      </c>
      <c r="C310" s="3" t="s">
        <v>19</v>
      </c>
      <c r="D310" s="3">
        <v>33</v>
      </c>
      <c r="E310" s="3">
        <v>266767.88</v>
      </c>
      <c r="F310" s="3">
        <v>8803340.0399999991</v>
      </c>
      <c r="G310" s="4">
        <v>45423</v>
      </c>
      <c r="H310" s="3" t="s">
        <v>30</v>
      </c>
      <c r="I310" s="6" t="s">
        <v>1091</v>
      </c>
    </row>
    <row r="311" spans="1:9" x14ac:dyDescent="0.3">
      <c r="A311" s="5" t="s">
        <v>638</v>
      </c>
      <c r="B311" s="3" t="s">
        <v>18</v>
      </c>
      <c r="C311" s="3" t="s">
        <v>25</v>
      </c>
      <c r="D311" s="3">
        <v>46.8</v>
      </c>
      <c r="E311" s="3">
        <v>72579.56</v>
      </c>
      <c r="F311" s="3">
        <f>Table1[[#This Row],[Unit Price]]*Table1[[#This Row],[Units Sold]]</f>
        <v>3396723.4079999998</v>
      </c>
      <c r="G311" s="4">
        <v>45596</v>
      </c>
      <c r="H311" s="3" t="s">
        <v>51</v>
      </c>
      <c r="I311" s="6" t="s">
        <v>639</v>
      </c>
    </row>
    <row r="312" spans="1:9" x14ac:dyDescent="0.3">
      <c r="A312" s="5" t="s">
        <v>640</v>
      </c>
      <c r="B312" s="3" t="s">
        <v>57</v>
      </c>
      <c r="C312" s="3" t="s">
        <v>76</v>
      </c>
      <c r="D312" s="3">
        <v>46.8</v>
      </c>
      <c r="E312" s="3">
        <v>155703.70000000001</v>
      </c>
      <c r="F312" s="3">
        <f>Table1[[#This Row],[Unit Price]]*Table1[[#This Row],[Units Sold]]</f>
        <v>7286933.1600000001</v>
      </c>
      <c r="G312" s="4">
        <v>45692</v>
      </c>
      <c r="H312" s="3" t="s">
        <v>51</v>
      </c>
      <c r="I312" s="6" t="s">
        <v>641</v>
      </c>
    </row>
    <row r="313" spans="1:9" x14ac:dyDescent="0.3">
      <c r="A313" s="5" t="s">
        <v>642</v>
      </c>
      <c r="B313" s="3" t="s">
        <v>97</v>
      </c>
      <c r="C313" s="3" t="s">
        <v>98</v>
      </c>
      <c r="D313" s="3">
        <v>46.8</v>
      </c>
      <c r="E313" s="3">
        <v>20653.63</v>
      </c>
      <c r="F313" s="3">
        <f>Table1[[#This Row],[Unit Price]]*Table1[[#This Row],[Units Sold]]</f>
        <v>966589.88399999996</v>
      </c>
      <c r="G313" s="4">
        <v>45772</v>
      </c>
      <c r="H313" s="3" t="s">
        <v>30</v>
      </c>
      <c r="I313" s="6" t="s">
        <v>643</v>
      </c>
    </row>
    <row r="314" spans="1:9" x14ac:dyDescent="0.3">
      <c r="A314" s="5" t="s">
        <v>1085</v>
      </c>
      <c r="B314" s="3" t="s">
        <v>22</v>
      </c>
      <c r="C314" s="3" t="s">
        <v>19</v>
      </c>
      <c r="D314" s="3">
        <v>46.8</v>
      </c>
      <c r="E314" s="3">
        <v>178386.27</v>
      </c>
      <c r="F314" s="3">
        <f>Table1[[#This Row],[Unit Price]]*Table1[[#This Row],[Units Sold]]</f>
        <v>8348477.4359999988</v>
      </c>
      <c r="G314" s="4">
        <v>45350</v>
      </c>
      <c r="H314" s="3" t="s">
        <v>1090</v>
      </c>
      <c r="I314" s="6" t="s">
        <v>644</v>
      </c>
    </row>
    <row r="315" spans="1:9" x14ac:dyDescent="0.3">
      <c r="A315" s="5" t="s">
        <v>645</v>
      </c>
      <c r="B315" s="3" t="s">
        <v>18</v>
      </c>
      <c r="C315" s="3" t="s">
        <v>50</v>
      </c>
      <c r="D315" s="3">
        <v>46.8</v>
      </c>
      <c r="E315" s="3">
        <v>134209.1</v>
      </c>
      <c r="F315" s="3">
        <f>Table1[[#This Row],[Unit Price]]*Table1[[#This Row],[Units Sold]]</f>
        <v>6280985.8799999999</v>
      </c>
      <c r="G315" s="4">
        <v>45579</v>
      </c>
      <c r="H315" s="3" t="s">
        <v>1090</v>
      </c>
      <c r="I315" s="6" t="s">
        <v>646</v>
      </c>
    </row>
    <row r="316" spans="1:9" x14ac:dyDescent="0.3">
      <c r="A316" s="5" t="s">
        <v>647</v>
      </c>
      <c r="B316" s="3" t="s">
        <v>115</v>
      </c>
      <c r="C316" s="3" t="s">
        <v>59</v>
      </c>
      <c r="D316" s="3">
        <v>16</v>
      </c>
      <c r="E316" s="3">
        <v>201771.08</v>
      </c>
      <c r="F316" s="3">
        <v>3228337.28</v>
      </c>
      <c r="G316" s="4">
        <v>45379</v>
      </c>
      <c r="H316" s="3" t="s">
        <v>30</v>
      </c>
      <c r="I316" s="6" t="s">
        <v>648</v>
      </c>
    </row>
    <row r="317" spans="1:9" x14ac:dyDescent="0.3">
      <c r="A317" s="5" t="s">
        <v>649</v>
      </c>
      <c r="B317" s="3" t="s">
        <v>1086</v>
      </c>
      <c r="C317" s="3" t="s">
        <v>25</v>
      </c>
      <c r="D317" s="3">
        <v>46.8</v>
      </c>
      <c r="E317" s="3">
        <v>261727.62</v>
      </c>
      <c r="F317" s="3">
        <f>Table1[[#This Row],[Unit Price]]*Table1[[#This Row],[Units Sold]]</f>
        <v>12248852.615999999</v>
      </c>
      <c r="G317" s="4">
        <v>45512</v>
      </c>
      <c r="H317" s="3" t="s">
        <v>30</v>
      </c>
      <c r="I317" s="6" t="s">
        <v>650</v>
      </c>
    </row>
    <row r="318" spans="1:9" x14ac:dyDescent="0.3">
      <c r="A318" s="5" t="s">
        <v>651</v>
      </c>
      <c r="B318" s="3" t="s">
        <v>143</v>
      </c>
      <c r="C318" s="3" t="s">
        <v>59</v>
      </c>
      <c r="D318" s="3">
        <v>46.8</v>
      </c>
      <c r="E318" s="3">
        <v>73797.88</v>
      </c>
      <c r="F318" s="3">
        <f>Table1[[#This Row],[Unit Price]]*Table1[[#This Row],[Units Sold]]</f>
        <v>3453740.784</v>
      </c>
      <c r="G318" s="4">
        <v>45761</v>
      </c>
      <c r="H318" s="3" t="s">
        <v>30</v>
      </c>
      <c r="I318" s="6" t="s">
        <v>652</v>
      </c>
    </row>
    <row r="319" spans="1:9" x14ac:dyDescent="0.3">
      <c r="A319" s="5" t="s">
        <v>653</v>
      </c>
      <c r="B319" s="3" t="s">
        <v>83</v>
      </c>
      <c r="C319" s="3" t="s">
        <v>50</v>
      </c>
      <c r="D319" s="3">
        <v>59</v>
      </c>
      <c r="E319" s="3">
        <v>13748.9</v>
      </c>
      <c r="F319" s="3">
        <v>811185.1</v>
      </c>
      <c r="G319" s="4">
        <v>45513</v>
      </c>
      <c r="H319" s="3" t="s">
        <v>30</v>
      </c>
      <c r="I319" s="6" t="s">
        <v>654</v>
      </c>
    </row>
    <row r="320" spans="1:9" x14ac:dyDescent="0.3">
      <c r="A320" s="5" t="s">
        <v>655</v>
      </c>
      <c r="B320" s="3" t="s">
        <v>97</v>
      </c>
      <c r="C320" s="3" t="s">
        <v>76</v>
      </c>
      <c r="D320" s="3">
        <v>46.8</v>
      </c>
      <c r="E320" s="3">
        <v>131969.35999999999</v>
      </c>
      <c r="F320" s="3">
        <f>Table1[[#This Row],[Unit Price]]*Table1[[#This Row],[Units Sold]]</f>
        <v>6176166.0479999986</v>
      </c>
      <c r="G320" s="4">
        <v>45531</v>
      </c>
      <c r="H320" s="3" t="s">
        <v>30</v>
      </c>
      <c r="I320" s="6" t="s">
        <v>656</v>
      </c>
    </row>
    <row r="321" spans="1:9" x14ac:dyDescent="0.3">
      <c r="A321" s="5" t="s">
        <v>657</v>
      </c>
      <c r="B321" s="3" t="s">
        <v>39</v>
      </c>
      <c r="C321" s="3" t="s">
        <v>98</v>
      </c>
      <c r="D321" s="3">
        <v>46.8</v>
      </c>
      <c r="E321" s="3">
        <v>162158.06</v>
      </c>
      <c r="F321" s="3">
        <f>Table1[[#This Row],[Unit Price]]*Table1[[#This Row],[Units Sold]]</f>
        <v>7588997.2079999996</v>
      </c>
      <c r="G321" s="4">
        <v>45498</v>
      </c>
      <c r="H321" s="3" t="s">
        <v>30</v>
      </c>
      <c r="I321" s="6" t="s">
        <v>658</v>
      </c>
    </row>
    <row r="322" spans="1:9" x14ac:dyDescent="0.3">
      <c r="A322" s="5" t="s">
        <v>659</v>
      </c>
      <c r="B322" s="3" t="s">
        <v>13</v>
      </c>
      <c r="C322" s="3" t="s">
        <v>19</v>
      </c>
      <c r="D322" s="3">
        <v>46.8</v>
      </c>
      <c r="E322" s="3">
        <v>155703.70000000001</v>
      </c>
      <c r="F322" s="3">
        <f>Table1[[#This Row],[Unit Price]]*Table1[[#This Row],[Units Sold]]</f>
        <v>7286933.1600000001</v>
      </c>
      <c r="G322" s="4">
        <v>45668</v>
      </c>
      <c r="H322" s="3" t="s">
        <v>51</v>
      </c>
      <c r="I322" s="6" t="s">
        <v>660</v>
      </c>
    </row>
    <row r="323" spans="1:9" x14ac:dyDescent="0.3">
      <c r="A323" s="5" t="s">
        <v>661</v>
      </c>
      <c r="B323" s="3" t="s">
        <v>83</v>
      </c>
      <c r="C323" s="3" t="s">
        <v>76</v>
      </c>
      <c r="D323" s="3">
        <v>46.8</v>
      </c>
      <c r="E323" s="3">
        <v>226438.52</v>
      </c>
      <c r="F323" s="3">
        <f>Table1[[#This Row],[Unit Price]]*Table1[[#This Row],[Units Sold]]</f>
        <v>10597322.736</v>
      </c>
      <c r="G323" s="4">
        <v>45555</v>
      </c>
      <c r="H323" s="3" t="s">
        <v>11</v>
      </c>
      <c r="I323" s="6" t="s">
        <v>662</v>
      </c>
    </row>
    <row r="324" spans="1:9" x14ac:dyDescent="0.3">
      <c r="A324" s="5" t="s">
        <v>663</v>
      </c>
      <c r="B324" s="3" t="s">
        <v>66</v>
      </c>
      <c r="C324" s="3" t="s">
        <v>98</v>
      </c>
      <c r="D324" s="3">
        <v>46.8</v>
      </c>
      <c r="E324" s="3">
        <v>232931.05</v>
      </c>
      <c r="F324" s="3">
        <f>Table1[[#This Row],[Unit Price]]*Table1[[#This Row],[Units Sold]]</f>
        <v>10901173.139999999</v>
      </c>
      <c r="G324" s="4">
        <v>45350</v>
      </c>
      <c r="H324" s="3" t="s">
        <v>1090</v>
      </c>
      <c r="I324" s="6" t="s">
        <v>1091</v>
      </c>
    </row>
    <row r="325" spans="1:9" x14ac:dyDescent="0.3">
      <c r="A325" s="5" t="s">
        <v>664</v>
      </c>
      <c r="B325" s="3" t="s">
        <v>87</v>
      </c>
      <c r="C325" s="3" t="s">
        <v>29</v>
      </c>
      <c r="D325" s="3">
        <v>46.8</v>
      </c>
      <c r="E325" s="3">
        <v>42470.6</v>
      </c>
      <c r="F325" s="3">
        <f>Table1[[#This Row],[Unit Price]]*Table1[[#This Row],[Units Sold]]</f>
        <v>1987624.0799999998</v>
      </c>
      <c r="G325" s="4">
        <v>45486</v>
      </c>
      <c r="H325" s="3" t="s">
        <v>11</v>
      </c>
      <c r="I325" s="6" t="s">
        <v>665</v>
      </c>
    </row>
    <row r="326" spans="1:9" x14ac:dyDescent="0.3">
      <c r="A326" s="5" t="s">
        <v>666</v>
      </c>
      <c r="B326" s="3" t="s">
        <v>33</v>
      </c>
      <c r="C326" s="3" t="s">
        <v>59</v>
      </c>
      <c r="D326" s="3">
        <v>55</v>
      </c>
      <c r="E326" s="3">
        <v>298048.28999999998</v>
      </c>
      <c r="F326" s="3">
        <v>16392655.949999999</v>
      </c>
      <c r="G326" s="4">
        <v>45751</v>
      </c>
      <c r="H326" s="3" t="s">
        <v>51</v>
      </c>
      <c r="I326" s="6" t="s">
        <v>667</v>
      </c>
    </row>
    <row r="327" spans="1:9" x14ac:dyDescent="0.3">
      <c r="A327" s="5" t="s">
        <v>1085</v>
      </c>
      <c r="B327" s="3" t="s">
        <v>39</v>
      </c>
      <c r="C327" s="3" t="s">
        <v>19</v>
      </c>
      <c r="D327" s="3">
        <v>46.8</v>
      </c>
      <c r="E327" s="3">
        <v>70631.37</v>
      </c>
      <c r="F327" s="3">
        <f>Table1[[#This Row],[Unit Price]]*Table1[[#This Row],[Units Sold]]</f>
        <v>3305548.1159999995</v>
      </c>
      <c r="G327" s="4">
        <v>45130</v>
      </c>
      <c r="H327" s="3" t="s">
        <v>15</v>
      </c>
      <c r="I327" s="6" t="s">
        <v>668</v>
      </c>
    </row>
    <row r="328" spans="1:9" x14ac:dyDescent="0.3">
      <c r="A328" s="5" t="s">
        <v>669</v>
      </c>
      <c r="B328" s="3" t="s">
        <v>36</v>
      </c>
      <c r="C328" s="3" t="s">
        <v>19</v>
      </c>
      <c r="D328" s="3">
        <v>46.8</v>
      </c>
      <c r="E328" s="3">
        <v>274960.90999999997</v>
      </c>
      <c r="F328" s="3">
        <f>Table1[[#This Row],[Unit Price]]*Table1[[#This Row],[Units Sold]]</f>
        <v>12868170.587999998</v>
      </c>
      <c r="G328" s="4">
        <v>45404</v>
      </c>
      <c r="H328" s="3" t="s">
        <v>11</v>
      </c>
      <c r="I328" s="6" t="s">
        <v>670</v>
      </c>
    </row>
    <row r="329" spans="1:9" x14ac:dyDescent="0.3">
      <c r="A329" s="5" t="s">
        <v>671</v>
      </c>
      <c r="B329" s="3" t="s">
        <v>57</v>
      </c>
      <c r="C329" s="3" t="s">
        <v>98</v>
      </c>
      <c r="D329" s="3">
        <v>54</v>
      </c>
      <c r="E329" s="3">
        <v>173045.05</v>
      </c>
      <c r="F329" s="3">
        <v>9344432.6999999993</v>
      </c>
      <c r="G329" s="4">
        <v>45375</v>
      </c>
      <c r="H329" s="3" t="s">
        <v>15</v>
      </c>
      <c r="I329" s="6" t="s">
        <v>672</v>
      </c>
    </row>
    <row r="330" spans="1:9" x14ac:dyDescent="0.3">
      <c r="A330" s="5" t="s">
        <v>673</v>
      </c>
      <c r="B330" s="3" t="s">
        <v>62</v>
      </c>
      <c r="C330" s="3" t="s">
        <v>29</v>
      </c>
      <c r="D330" s="3">
        <v>46.8</v>
      </c>
      <c r="E330" s="3">
        <v>173453.71</v>
      </c>
      <c r="F330" s="3">
        <f>Table1[[#This Row],[Unit Price]]*Table1[[#This Row],[Units Sold]]</f>
        <v>8117633.6279999996</v>
      </c>
      <c r="G330" s="4">
        <v>45641</v>
      </c>
      <c r="H330" s="3" t="s">
        <v>51</v>
      </c>
      <c r="I330" s="6" t="s">
        <v>674</v>
      </c>
    </row>
    <row r="331" spans="1:9" x14ac:dyDescent="0.3">
      <c r="A331" s="5" t="s">
        <v>675</v>
      </c>
      <c r="B331" s="3" t="s">
        <v>18</v>
      </c>
      <c r="C331" s="3" t="s">
        <v>25</v>
      </c>
      <c r="D331" s="3">
        <v>46.8</v>
      </c>
      <c r="E331" s="3">
        <v>231875.19</v>
      </c>
      <c r="F331" s="3">
        <f>Table1[[#This Row],[Unit Price]]*Table1[[#This Row],[Units Sold]]</f>
        <v>10851758.891999999</v>
      </c>
      <c r="G331" s="4">
        <v>45203</v>
      </c>
      <c r="H331" s="3" t="s">
        <v>1090</v>
      </c>
      <c r="I331" s="6" t="s">
        <v>676</v>
      </c>
    </row>
    <row r="332" spans="1:9" x14ac:dyDescent="0.3">
      <c r="A332" s="5" t="s">
        <v>677</v>
      </c>
      <c r="B332" s="3" t="s">
        <v>1086</v>
      </c>
      <c r="C332" s="3" t="s">
        <v>1089</v>
      </c>
      <c r="D332" s="3">
        <v>47</v>
      </c>
      <c r="E332" s="3">
        <v>155703.70000000001</v>
      </c>
      <c r="F332" s="3">
        <f>Table1[[#This Row],[Unit Price]]*Table1[[#This Row],[Units Sold]]</f>
        <v>7318073.9000000004</v>
      </c>
      <c r="G332" s="4">
        <v>45441</v>
      </c>
      <c r="H332" s="3" t="s">
        <v>15</v>
      </c>
      <c r="I332" s="6" t="s">
        <v>678</v>
      </c>
    </row>
    <row r="333" spans="1:9" x14ac:dyDescent="0.3">
      <c r="A333" s="5" t="s">
        <v>679</v>
      </c>
      <c r="B333" s="3" t="s">
        <v>119</v>
      </c>
      <c r="C333" s="3" t="s">
        <v>25</v>
      </c>
      <c r="D333" s="3">
        <v>46.8</v>
      </c>
      <c r="E333" s="3">
        <v>245605.56</v>
      </c>
      <c r="F333" s="3">
        <f>Table1[[#This Row],[Unit Price]]*Table1[[#This Row],[Units Sold]]</f>
        <v>11494340.207999999</v>
      </c>
      <c r="G333" s="4">
        <v>45571</v>
      </c>
      <c r="H333" s="3" t="s">
        <v>51</v>
      </c>
      <c r="I333" s="6" t="s">
        <v>680</v>
      </c>
    </row>
    <row r="334" spans="1:9" x14ac:dyDescent="0.3">
      <c r="A334" s="5" t="s">
        <v>681</v>
      </c>
      <c r="B334" s="3" t="s">
        <v>39</v>
      </c>
      <c r="C334" s="3" t="s">
        <v>19</v>
      </c>
      <c r="D334" s="3">
        <v>46.8</v>
      </c>
      <c r="E334" s="3">
        <v>71452.759999999995</v>
      </c>
      <c r="F334" s="3">
        <f>Table1[[#This Row],[Unit Price]]*Table1[[#This Row],[Units Sold]]</f>
        <v>3343989.1679999996</v>
      </c>
      <c r="G334" s="4">
        <v>45356</v>
      </c>
      <c r="H334" s="3" t="s">
        <v>30</v>
      </c>
      <c r="I334" s="6" t="s">
        <v>682</v>
      </c>
    </row>
    <row r="335" spans="1:9" x14ac:dyDescent="0.3">
      <c r="A335" s="5" t="s">
        <v>683</v>
      </c>
      <c r="B335" s="3" t="s">
        <v>22</v>
      </c>
      <c r="C335" s="3" t="s">
        <v>19</v>
      </c>
      <c r="D335" s="3">
        <v>71</v>
      </c>
      <c r="E335" s="3">
        <v>262939.37</v>
      </c>
      <c r="F335" s="3">
        <v>18668695.27</v>
      </c>
      <c r="G335" s="4">
        <v>45736</v>
      </c>
      <c r="H335" s="3" t="s">
        <v>1090</v>
      </c>
      <c r="I335" s="6" t="s">
        <v>684</v>
      </c>
    </row>
    <row r="336" spans="1:9" x14ac:dyDescent="0.3">
      <c r="A336" s="5" t="s">
        <v>685</v>
      </c>
      <c r="B336" s="3" t="s">
        <v>119</v>
      </c>
      <c r="C336" s="3" t="s">
        <v>50</v>
      </c>
      <c r="D336" s="3">
        <v>46.8</v>
      </c>
      <c r="E336" s="3">
        <v>295715.82</v>
      </c>
      <c r="F336" s="3">
        <f>Table1[[#This Row],[Unit Price]]*Table1[[#This Row],[Units Sold]]</f>
        <v>13839500.376</v>
      </c>
      <c r="G336" s="4">
        <v>45816</v>
      </c>
      <c r="H336" s="3" t="s">
        <v>30</v>
      </c>
      <c r="I336" s="6" t="s">
        <v>686</v>
      </c>
    </row>
    <row r="337" spans="1:9" x14ac:dyDescent="0.3">
      <c r="A337" s="5" t="s">
        <v>687</v>
      </c>
      <c r="B337" s="3" t="s">
        <v>143</v>
      </c>
      <c r="C337" s="3" t="s">
        <v>98</v>
      </c>
      <c r="D337" s="3">
        <v>46.8</v>
      </c>
      <c r="E337" s="3">
        <v>156614.69</v>
      </c>
      <c r="F337" s="3">
        <f>Table1[[#This Row],[Unit Price]]*Table1[[#This Row],[Units Sold]]</f>
        <v>7329567.4919999996</v>
      </c>
      <c r="G337" s="4">
        <v>45681</v>
      </c>
      <c r="H337" s="3" t="s">
        <v>1090</v>
      </c>
      <c r="I337" s="6" t="s">
        <v>688</v>
      </c>
    </row>
    <row r="338" spans="1:9" x14ac:dyDescent="0.3">
      <c r="A338" s="5" t="s">
        <v>689</v>
      </c>
      <c r="B338" s="3" t="s">
        <v>93</v>
      </c>
      <c r="C338" s="3" t="s">
        <v>29</v>
      </c>
      <c r="D338" s="3">
        <v>46.8</v>
      </c>
      <c r="E338" s="3">
        <v>124361.28</v>
      </c>
      <c r="F338" s="3">
        <f>Table1[[#This Row],[Unit Price]]*Table1[[#This Row],[Units Sold]]</f>
        <v>5820107.9039999992</v>
      </c>
      <c r="G338" s="4">
        <v>45795</v>
      </c>
      <c r="H338" s="3" t="s">
        <v>1090</v>
      </c>
      <c r="I338" s="6" t="s">
        <v>1091</v>
      </c>
    </row>
    <row r="339" spans="1:9" x14ac:dyDescent="0.3">
      <c r="A339" s="5" t="s">
        <v>690</v>
      </c>
      <c r="B339" s="3" t="s">
        <v>83</v>
      </c>
      <c r="C339" s="3" t="s">
        <v>1089</v>
      </c>
      <c r="D339" s="3">
        <v>46.8</v>
      </c>
      <c r="E339" s="3">
        <v>82908.600000000006</v>
      </c>
      <c r="F339" s="3">
        <f>Table1[[#This Row],[Unit Price]]*Table1[[#This Row],[Units Sold]]</f>
        <v>3880122.48</v>
      </c>
      <c r="G339" s="4">
        <v>45652</v>
      </c>
      <c r="H339" s="3" t="s">
        <v>11</v>
      </c>
      <c r="I339" s="6" t="s">
        <v>691</v>
      </c>
    </row>
    <row r="340" spans="1:9" x14ac:dyDescent="0.3">
      <c r="A340" s="5" t="s">
        <v>1085</v>
      </c>
      <c r="B340" s="3" t="s">
        <v>36</v>
      </c>
      <c r="C340" s="3" t="s">
        <v>25</v>
      </c>
      <c r="D340" s="3">
        <v>46.8</v>
      </c>
      <c r="E340" s="3">
        <v>167237.07999999999</v>
      </c>
      <c r="F340" s="3">
        <f>Table1[[#This Row],[Unit Price]]*Table1[[#This Row],[Units Sold]]</f>
        <v>7826695.3439999986</v>
      </c>
      <c r="G340" s="4">
        <v>45606</v>
      </c>
      <c r="H340" s="3" t="s">
        <v>1090</v>
      </c>
      <c r="I340" s="6" t="s">
        <v>692</v>
      </c>
    </row>
    <row r="341" spans="1:9" x14ac:dyDescent="0.3">
      <c r="A341" s="5" t="s">
        <v>693</v>
      </c>
      <c r="B341" s="3" t="s">
        <v>143</v>
      </c>
      <c r="C341" s="3" t="s">
        <v>98</v>
      </c>
      <c r="D341" s="3">
        <v>46.8</v>
      </c>
      <c r="E341" s="3">
        <v>177704.3</v>
      </c>
      <c r="F341" s="3">
        <f>Table1[[#This Row],[Unit Price]]*Table1[[#This Row],[Units Sold]]</f>
        <v>8316561.2399999993</v>
      </c>
      <c r="G341" s="4">
        <v>45138</v>
      </c>
      <c r="H341" s="3" t="s">
        <v>11</v>
      </c>
      <c r="I341" s="6" t="s">
        <v>694</v>
      </c>
    </row>
    <row r="342" spans="1:9" x14ac:dyDescent="0.3">
      <c r="A342" s="5" t="s">
        <v>695</v>
      </c>
      <c r="B342" s="3" t="s">
        <v>66</v>
      </c>
      <c r="C342" s="3" t="s">
        <v>76</v>
      </c>
      <c r="D342" s="3">
        <v>46.8</v>
      </c>
      <c r="E342" s="3">
        <v>155703.70000000001</v>
      </c>
      <c r="F342" s="3">
        <f>Table1[[#This Row],[Unit Price]]*Table1[[#This Row],[Units Sold]]</f>
        <v>7286933.1600000001</v>
      </c>
      <c r="G342" s="4">
        <v>45581</v>
      </c>
      <c r="H342" s="3" t="s">
        <v>15</v>
      </c>
      <c r="I342" s="6" t="s">
        <v>696</v>
      </c>
    </row>
    <row r="343" spans="1:9" x14ac:dyDescent="0.3">
      <c r="A343" s="5" t="s">
        <v>697</v>
      </c>
      <c r="B343" s="3" t="s">
        <v>62</v>
      </c>
      <c r="C343" s="3" t="s">
        <v>50</v>
      </c>
      <c r="D343" s="3">
        <v>46.8</v>
      </c>
      <c r="E343" s="3">
        <v>220696.03</v>
      </c>
      <c r="F343" s="3">
        <f>Table1[[#This Row],[Unit Price]]*Table1[[#This Row],[Units Sold]]</f>
        <v>10328574.204</v>
      </c>
      <c r="G343" s="4">
        <v>45486</v>
      </c>
      <c r="H343" s="3" t="s">
        <v>1090</v>
      </c>
      <c r="I343" s="6" t="s">
        <v>698</v>
      </c>
    </row>
    <row r="344" spans="1:9" x14ac:dyDescent="0.3">
      <c r="A344" s="5" t="s">
        <v>699</v>
      </c>
      <c r="B344" s="3" t="s">
        <v>13</v>
      </c>
      <c r="C344" s="3" t="s">
        <v>29</v>
      </c>
      <c r="D344" s="3">
        <v>46.8</v>
      </c>
      <c r="E344" s="3">
        <v>52952.39</v>
      </c>
      <c r="F344" s="3">
        <f>Table1[[#This Row],[Unit Price]]*Table1[[#This Row],[Units Sold]]</f>
        <v>2478171.852</v>
      </c>
      <c r="G344" s="4">
        <v>45324</v>
      </c>
      <c r="H344" s="3" t="s">
        <v>15</v>
      </c>
      <c r="I344" s="6" t="s">
        <v>700</v>
      </c>
    </row>
    <row r="345" spans="1:9" x14ac:dyDescent="0.3">
      <c r="A345" s="5" t="s">
        <v>701</v>
      </c>
      <c r="B345" s="3" t="s">
        <v>36</v>
      </c>
      <c r="C345" s="3" t="s">
        <v>50</v>
      </c>
      <c r="D345" s="3">
        <v>46.8</v>
      </c>
      <c r="E345" s="3">
        <v>203785.66</v>
      </c>
      <c r="F345" s="3">
        <f>Table1[[#This Row],[Unit Price]]*Table1[[#This Row],[Units Sold]]</f>
        <v>9537168.8880000003</v>
      </c>
      <c r="G345" s="4">
        <v>45627</v>
      </c>
      <c r="H345" s="3" t="s">
        <v>1090</v>
      </c>
      <c r="I345" s="6" t="s">
        <v>702</v>
      </c>
    </row>
    <row r="346" spans="1:9" x14ac:dyDescent="0.3">
      <c r="A346" s="5" t="s">
        <v>703</v>
      </c>
      <c r="B346" s="3" t="s">
        <v>143</v>
      </c>
      <c r="C346" s="3" t="s">
        <v>19</v>
      </c>
      <c r="D346" s="3">
        <v>18</v>
      </c>
      <c r="E346" s="3">
        <v>166977.26999999999</v>
      </c>
      <c r="F346" s="3">
        <v>3005590.86</v>
      </c>
      <c r="G346" s="4">
        <v>45726</v>
      </c>
      <c r="H346" s="3" t="s">
        <v>11</v>
      </c>
      <c r="I346" s="6" t="s">
        <v>704</v>
      </c>
    </row>
    <row r="347" spans="1:9" x14ac:dyDescent="0.3">
      <c r="A347" s="5" t="s">
        <v>705</v>
      </c>
      <c r="B347" s="3" t="s">
        <v>33</v>
      </c>
      <c r="C347" s="3" t="s">
        <v>50</v>
      </c>
      <c r="D347" s="3">
        <v>46.8</v>
      </c>
      <c r="E347" s="3">
        <v>14541.79</v>
      </c>
      <c r="F347" s="3">
        <f>Table1[[#This Row],[Unit Price]]*Table1[[#This Row],[Units Sold]]</f>
        <v>680555.772</v>
      </c>
      <c r="G347" s="4">
        <v>45720</v>
      </c>
      <c r="H347" s="3" t="s">
        <v>30</v>
      </c>
      <c r="I347" s="6" t="s">
        <v>706</v>
      </c>
    </row>
    <row r="348" spans="1:9" x14ac:dyDescent="0.3">
      <c r="A348" s="5" t="s">
        <v>707</v>
      </c>
      <c r="B348" s="3" t="s">
        <v>1086</v>
      </c>
      <c r="C348" s="3" t="s">
        <v>1089</v>
      </c>
      <c r="D348" s="3">
        <v>46.8</v>
      </c>
      <c r="E348" s="3">
        <v>103652.24</v>
      </c>
      <c r="F348" s="3">
        <f>Table1[[#This Row],[Unit Price]]*Table1[[#This Row],[Units Sold]]</f>
        <v>4850924.8320000004</v>
      </c>
      <c r="G348" s="4">
        <v>45567</v>
      </c>
      <c r="H348" s="3" t="s">
        <v>1090</v>
      </c>
      <c r="I348" s="6" t="s">
        <v>708</v>
      </c>
    </row>
    <row r="349" spans="1:9" x14ac:dyDescent="0.3">
      <c r="A349" s="5" t="s">
        <v>709</v>
      </c>
      <c r="B349" s="3" t="s">
        <v>18</v>
      </c>
      <c r="C349" s="3" t="s">
        <v>19</v>
      </c>
      <c r="D349" s="3">
        <v>46.8</v>
      </c>
      <c r="E349" s="3">
        <v>193173.16</v>
      </c>
      <c r="F349" s="3">
        <f>Table1[[#This Row],[Unit Price]]*Table1[[#This Row],[Units Sold]]</f>
        <v>9040503.8880000003</v>
      </c>
      <c r="G349" s="4">
        <v>45566</v>
      </c>
      <c r="H349" s="3" t="s">
        <v>51</v>
      </c>
      <c r="I349" s="6" t="s">
        <v>710</v>
      </c>
    </row>
    <row r="350" spans="1:9" x14ac:dyDescent="0.3">
      <c r="A350" s="5" t="s">
        <v>711</v>
      </c>
      <c r="B350" s="3" t="s">
        <v>33</v>
      </c>
      <c r="C350" s="3" t="s">
        <v>25</v>
      </c>
      <c r="D350" s="3">
        <v>46.8</v>
      </c>
      <c r="E350" s="3">
        <v>114655.81</v>
      </c>
      <c r="F350" s="3">
        <f>Table1[[#This Row],[Unit Price]]*Table1[[#This Row],[Units Sold]]</f>
        <v>5365891.9079999998</v>
      </c>
      <c r="G350" s="4">
        <v>45294</v>
      </c>
      <c r="H350" s="3" t="s">
        <v>30</v>
      </c>
      <c r="I350" s="6" t="s">
        <v>712</v>
      </c>
    </row>
    <row r="351" spans="1:9" x14ac:dyDescent="0.3">
      <c r="A351" s="5" t="s">
        <v>713</v>
      </c>
      <c r="B351" s="3" t="s">
        <v>33</v>
      </c>
      <c r="C351" s="3" t="s">
        <v>25</v>
      </c>
      <c r="D351" s="3">
        <v>46.8</v>
      </c>
      <c r="E351" s="3">
        <v>157576.69</v>
      </c>
      <c r="F351" s="3">
        <f>Table1[[#This Row],[Unit Price]]*Table1[[#This Row],[Units Sold]]</f>
        <v>7374589.0919999992</v>
      </c>
      <c r="G351" s="4">
        <v>45678</v>
      </c>
      <c r="H351" s="3" t="s">
        <v>11</v>
      </c>
      <c r="I351" s="6" t="s">
        <v>714</v>
      </c>
    </row>
    <row r="352" spans="1:9" x14ac:dyDescent="0.3">
      <c r="A352" s="5" t="s">
        <v>715</v>
      </c>
      <c r="B352" s="3" t="s">
        <v>36</v>
      </c>
      <c r="C352" s="3" t="s">
        <v>76</v>
      </c>
      <c r="D352" s="3">
        <v>24</v>
      </c>
      <c r="E352" s="3">
        <v>155703.70000000001</v>
      </c>
      <c r="F352" s="3">
        <f>Table1[[#This Row],[Unit Price]]*Table1[[#This Row],[Units Sold]]</f>
        <v>3736888.8000000003</v>
      </c>
      <c r="G352" s="4">
        <v>45157</v>
      </c>
      <c r="H352" s="3" t="s">
        <v>51</v>
      </c>
      <c r="I352" s="6" t="s">
        <v>1091</v>
      </c>
    </row>
    <row r="353" spans="1:9" x14ac:dyDescent="0.3">
      <c r="A353" s="5" t="s">
        <v>1085</v>
      </c>
      <c r="B353" s="3" t="s">
        <v>1086</v>
      </c>
      <c r="C353" s="3" t="s">
        <v>19</v>
      </c>
      <c r="D353" s="3">
        <v>46.8</v>
      </c>
      <c r="E353" s="3">
        <v>209044.37</v>
      </c>
      <c r="F353" s="3">
        <f>Table1[[#This Row],[Unit Price]]*Table1[[#This Row],[Units Sold]]</f>
        <v>9783276.5159999989</v>
      </c>
      <c r="G353" s="4">
        <v>45571</v>
      </c>
      <c r="H353" s="3" t="s">
        <v>15</v>
      </c>
      <c r="I353" s="6" t="s">
        <v>716</v>
      </c>
    </row>
    <row r="354" spans="1:9" x14ac:dyDescent="0.3">
      <c r="A354" s="5" t="s">
        <v>717</v>
      </c>
      <c r="B354" s="3" t="s">
        <v>18</v>
      </c>
      <c r="C354" s="3" t="s">
        <v>19</v>
      </c>
      <c r="D354" s="3">
        <v>46.8</v>
      </c>
      <c r="E354" s="3">
        <v>122773.62</v>
      </c>
      <c r="F354" s="3">
        <f>Table1[[#This Row],[Unit Price]]*Table1[[#This Row],[Units Sold]]</f>
        <v>5745805.4159999993</v>
      </c>
      <c r="G354" s="4">
        <v>45491</v>
      </c>
      <c r="H354" s="3" t="s">
        <v>11</v>
      </c>
      <c r="I354" s="6" t="s">
        <v>718</v>
      </c>
    </row>
    <row r="355" spans="1:9" x14ac:dyDescent="0.3">
      <c r="A355" s="5" t="s">
        <v>719</v>
      </c>
      <c r="B355" s="3" t="s">
        <v>143</v>
      </c>
      <c r="C355" s="3" t="s">
        <v>29</v>
      </c>
      <c r="D355" s="3">
        <v>46.8</v>
      </c>
      <c r="E355" s="3">
        <v>90316.6</v>
      </c>
      <c r="F355" s="3">
        <f>Table1[[#This Row],[Unit Price]]*Table1[[#This Row],[Units Sold]]</f>
        <v>4226816.88</v>
      </c>
      <c r="G355" s="4">
        <v>45250</v>
      </c>
      <c r="H355" s="3" t="s">
        <v>30</v>
      </c>
      <c r="I355" s="6" t="s">
        <v>720</v>
      </c>
    </row>
    <row r="356" spans="1:9" x14ac:dyDescent="0.3">
      <c r="A356" s="5" t="s">
        <v>721</v>
      </c>
      <c r="B356" s="3" t="s">
        <v>66</v>
      </c>
      <c r="C356" s="3" t="s">
        <v>19</v>
      </c>
      <c r="D356" s="3">
        <v>26</v>
      </c>
      <c r="E356" s="3">
        <v>55571.75</v>
      </c>
      <c r="F356" s="3">
        <v>1444865.5</v>
      </c>
      <c r="G356" s="4">
        <v>45525</v>
      </c>
      <c r="H356" s="3" t="s">
        <v>15</v>
      </c>
      <c r="I356" s="6" t="s">
        <v>722</v>
      </c>
    </row>
    <row r="357" spans="1:9" x14ac:dyDescent="0.3">
      <c r="A357" s="5" t="s">
        <v>723</v>
      </c>
      <c r="B357" s="3" t="s">
        <v>57</v>
      </c>
      <c r="C357" s="3" t="s">
        <v>1089</v>
      </c>
      <c r="D357" s="3">
        <v>26</v>
      </c>
      <c r="E357" s="3">
        <v>161609.51999999999</v>
      </c>
      <c r="F357" s="3">
        <v>4201847.5199999996</v>
      </c>
      <c r="G357" s="4">
        <v>45606</v>
      </c>
      <c r="H357" s="3" t="s">
        <v>15</v>
      </c>
      <c r="I357" s="6" t="s">
        <v>724</v>
      </c>
    </row>
    <row r="358" spans="1:9" x14ac:dyDescent="0.3">
      <c r="A358" s="5" t="s">
        <v>725</v>
      </c>
      <c r="B358" s="3" t="s">
        <v>97</v>
      </c>
      <c r="C358" s="3" t="s">
        <v>76</v>
      </c>
      <c r="D358" s="3">
        <v>46.8</v>
      </c>
      <c r="E358" s="3">
        <v>72669.97</v>
      </c>
      <c r="F358" s="3">
        <f>Table1[[#This Row],[Unit Price]]*Table1[[#This Row],[Units Sold]]</f>
        <v>3400954.5959999999</v>
      </c>
      <c r="G358" s="4">
        <v>45678</v>
      </c>
      <c r="H358" s="3" t="s">
        <v>11</v>
      </c>
      <c r="I358" s="6" t="s">
        <v>726</v>
      </c>
    </row>
    <row r="359" spans="1:9" x14ac:dyDescent="0.3">
      <c r="A359" s="5" t="s">
        <v>727</v>
      </c>
      <c r="B359" s="3" t="s">
        <v>57</v>
      </c>
      <c r="C359" s="3" t="s">
        <v>29</v>
      </c>
      <c r="D359" s="3">
        <v>46.8</v>
      </c>
      <c r="E359" s="3">
        <v>67990.69</v>
      </c>
      <c r="F359" s="3">
        <f>Table1[[#This Row],[Unit Price]]*Table1[[#This Row],[Units Sold]]</f>
        <v>3181964.2919999999</v>
      </c>
      <c r="G359" s="4">
        <v>45599</v>
      </c>
      <c r="H359" s="3" t="s">
        <v>30</v>
      </c>
      <c r="I359" s="6" t="s">
        <v>728</v>
      </c>
    </row>
    <row r="360" spans="1:9" x14ac:dyDescent="0.3">
      <c r="A360" s="5" t="s">
        <v>729</v>
      </c>
      <c r="B360" s="3" t="s">
        <v>18</v>
      </c>
      <c r="C360" s="3" t="s">
        <v>1089</v>
      </c>
      <c r="D360" s="3">
        <v>46.8</v>
      </c>
      <c r="E360" s="3">
        <v>257333.6</v>
      </c>
      <c r="F360" s="3">
        <f>Table1[[#This Row],[Unit Price]]*Table1[[#This Row],[Units Sold]]</f>
        <v>12043212.48</v>
      </c>
      <c r="G360" s="4">
        <v>45719</v>
      </c>
      <c r="H360" s="3" t="s">
        <v>11</v>
      </c>
      <c r="I360" s="6" t="s">
        <v>730</v>
      </c>
    </row>
    <row r="361" spans="1:9" x14ac:dyDescent="0.3">
      <c r="A361" s="5" t="s">
        <v>731</v>
      </c>
      <c r="B361" s="3" t="s">
        <v>62</v>
      </c>
      <c r="C361" s="3" t="s">
        <v>50</v>
      </c>
      <c r="D361" s="3">
        <v>33</v>
      </c>
      <c r="E361" s="3">
        <v>43733.35</v>
      </c>
      <c r="F361" s="3">
        <v>1443200.55</v>
      </c>
      <c r="G361" s="4">
        <v>45771</v>
      </c>
      <c r="H361" s="3" t="s">
        <v>51</v>
      </c>
      <c r="I361" s="6" t="s">
        <v>732</v>
      </c>
    </row>
    <row r="362" spans="1:9" x14ac:dyDescent="0.3">
      <c r="A362" s="5" t="s">
        <v>733</v>
      </c>
      <c r="B362" s="3" t="s">
        <v>230</v>
      </c>
      <c r="C362" s="3" t="s">
        <v>25</v>
      </c>
      <c r="D362" s="3">
        <v>46.8</v>
      </c>
      <c r="E362" s="3">
        <v>155703.70000000001</v>
      </c>
      <c r="F362" s="3">
        <f>Table1[[#This Row],[Unit Price]]*Table1[[#This Row],[Units Sold]]</f>
        <v>7286933.1600000001</v>
      </c>
      <c r="G362" s="4">
        <v>45413</v>
      </c>
      <c r="H362" s="3" t="s">
        <v>51</v>
      </c>
      <c r="I362" s="6" t="s">
        <v>734</v>
      </c>
    </row>
    <row r="363" spans="1:9" x14ac:dyDescent="0.3">
      <c r="A363" s="5" t="s">
        <v>735</v>
      </c>
      <c r="B363" s="3" t="s">
        <v>18</v>
      </c>
      <c r="C363" s="3" t="s">
        <v>76</v>
      </c>
      <c r="D363" s="3">
        <v>46.8</v>
      </c>
      <c r="E363" s="3">
        <v>139176.04</v>
      </c>
      <c r="F363" s="3">
        <f>Table1[[#This Row],[Unit Price]]*Table1[[#This Row],[Units Sold]]</f>
        <v>6513438.6720000003</v>
      </c>
      <c r="G363" s="4">
        <v>45232</v>
      </c>
      <c r="H363" s="3" t="s">
        <v>1090</v>
      </c>
      <c r="I363" s="6" t="s">
        <v>736</v>
      </c>
    </row>
    <row r="364" spans="1:9" x14ac:dyDescent="0.3">
      <c r="A364" s="5" t="s">
        <v>737</v>
      </c>
      <c r="B364" s="3" t="s">
        <v>49</v>
      </c>
      <c r="C364" s="3" t="s">
        <v>59</v>
      </c>
      <c r="D364" s="3">
        <v>46</v>
      </c>
      <c r="E364" s="3">
        <v>17758.37</v>
      </c>
      <c r="F364" s="3">
        <v>816885.02</v>
      </c>
      <c r="G364" s="4">
        <v>45756</v>
      </c>
      <c r="H364" s="3" t="s">
        <v>15</v>
      </c>
      <c r="I364" s="6" t="s">
        <v>738</v>
      </c>
    </row>
    <row r="365" spans="1:9" x14ac:dyDescent="0.3">
      <c r="A365" s="5" t="s">
        <v>739</v>
      </c>
      <c r="B365" s="3" t="s">
        <v>39</v>
      </c>
      <c r="C365" s="3" t="s">
        <v>25</v>
      </c>
      <c r="D365" s="3">
        <v>46.8</v>
      </c>
      <c r="E365" s="3">
        <v>124096.91</v>
      </c>
      <c r="F365" s="3">
        <f>Table1[[#This Row],[Unit Price]]*Table1[[#This Row],[Units Sold]]</f>
        <v>5807735.3880000003</v>
      </c>
      <c r="G365" s="4">
        <v>45646</v>
      </c>
      <c r="H365" s="3" t="s">
        <v>1090</v>
      </c>
      <c r="I365" s="6" t="s">
        <v>740</v>
      </c>
    </row>
    <row r="366" spans="1:9" x14ac:dyDescent="0.3">
      <c r="A366" s="5" t="s">
        <v>1085</v>
      </c>
      <c r="B366" s="3" t="s">
        <v>46</v>
      </c>
      <c r="C366" s="3" t="s">
        <v>98</v>
      </c>
      <c r="D366" s="3">
        <v>35</v>
      </c>
      <c r="E366" s="3">
        <v>125244.11</v>
      </c>
      <c r="F366" s="3">
        <v>4383543.8499999996</v>
      </c>
      <c r="G366" s="4">
        <v>45306</v>
      </c>
      <c r="H366" s="3" t="s">
        <v>30</v>
      </c>
      <c r="I366" s="6" t="s">
        <v>1091</v>
      </c>
    </row>
    <row r="367" spans="1:9" x14ac:dyDescent="0.3">
      <c r="A367" s="5" t="s">
        <v>741</v>
      </c>
      <c r="B367" s="3" t="s">
        <v>18</v>
      </c>
      <c r="C367" s="3" t="s">
        <v>25</v>
      </c>
      <c r="D367" s="3">
        <v>46.8</v>
      </c>
      <c r="E367" s="3">
        <v>159232.54999999999</v>
      </c>
      <c r="F367" s="3">
        <f>Table1[[#This Row],[Unit Price]]*Table1[[#This Row],[Units Sold]]</f>
        <v>7452083.3399999989</v>
      </c>
      <c r="G367" s="4">
        <v>45142</v>
      </c>
      <c r="H367" s="3" t="s">
        <v>51</v>
      </c>
      <c r="I367" s="6" t="s">
        <v>742</v>
      </c>
    </row>
    <row r="368" spans="1:9" x14ac:dyDescent="0.3">
      <c r="A368" s="5" t="s">
        <v>743</v>
      </c>
      <c r="B368" s="3" t="s">
        <v>49</v>
      </c>
      <c r="C368" s="3" t="s">
        <v>25</v>
      </c>
      <c r="D368" s="3">
        <v>46.8</v>
      </c>
      <c r="E368" s="3">
        <v>116831.51</v>
      </c>
      <c r="F368" s="3">
        <f>Table1[[#This Row],[Unit Price]]*Table1[[#This Row],[Units Sold]]</f>
        <v>5467714.6679999996</v>
      </c>
      <c r="G368" s="4">
        <v>45562</v>
      </c>
      <c r="H368" s="3" t="s">
        <v>1090</v>
      </c>
      <c r="I368" s="6" t="s">
        <v>744</v>
      </c>
    </row>
    <row r="369" spans="1:9" x14ac:dyDescent="0.3">
      <c r="A369" s="5" t="s">
        <v>745</v>
      </c>
      <c r="B369" s="3" t="s">
        <v>13</v>
      </c>
      <c r="C369" s="3" t="s">
        <v>19</v>
      </c>
      <c r="D369" s="3">
        <v>46.8</v>
      </c>
      <c r="E369" s="3">
        <v>76871.199999999997</v>
      </c>
      <c r="F369" s="3">
        <f>Table1[[#This Row],[Unit Price]]*Table1[[#This Row],[Units Sold]]</f>
        <v>3597572.1599999997</v>
      </c>
      <c r="G369" s="4">
        <v>45662</v>
      </c>
      <c r="H369" s="3" t="s">
        <v>51</v>
      </c>
      <c r="I369" s="6" t="s">
        <v>746</v>
      </c>
    </row>
    <row r="370" spans="1:9" x14ac:dyDescent="0.3">
      <c r="A370" s="5" t="s">
        <v>747</v>
      </c>
      <c r="B370" s="3" t="s">
        <v>97</v>
      </c>
      <c r="C370" s="3" t="s">
        <v>1089</v>
      </c>
      <c r="D370" s="3">
        <v>44</v>
      </c>
      <c r="E370" s="3">
        <v>99413.77</v>
      </c>
      <c r="F370" s="3">
        <v>4374205.88</v>
      </c>
      <c r="G370" s="4">
        <v>45203</v>
      </c>
      <c r="H370" s="3" t="s">
        <v>51</v>
      </c>
      <c r="I370" s="6" t="s">
        <v>748</v>
      </c>
    </row>
    <row r="371" spans="1:9" x14ac:dyDescent="0.3">
      <c r="A371" s="5" t="s">
        <v>749</v>
      </c>
      <c r="B371" s="3" t="s">
        <v>1086</v>
      </c>
      <c r="C371" s="3" t="s">
        <v>19</v>
      </c>
      <c r="D371" s="3">
        <v>46.8</v>
      </c>
      <c r="E371" s="3">
        <v>24181.59</v>
      </c>
      <c r="F371" s="3">
        <f>Table1[[#This Row],[Unit Price]]*Table1[[#This Row],[Units Sold]]</f>
        <v>1131698.412</v>
      </c>
      <c r="G371" s="4">
        <v>45266</v>
      </c>
      <c r="H371" s="3" t="s">
        <v>51</v>
      </c>
      <c r="I371" s="6" t="s">
        <v>750</v>
      </c>
    </row>
    <row r="372" spans="1:9" x14ac:dyDescent="0.3">
      <c r="A372" s="5" t="s">
        <v>751</v>
      </c>
      <c r="B372" s="3" t="s">
        <v>18</v>
      </c>
      <c r="C372" s="3" t="s">
        <v>19</v>
      </c>
      <c r="D372" s="3">
        <v>46.8</v>
      </c>
      <c r="E372" s="3">
        <v>155703.70000000001</v>
      </c>
      <c r="F372" s="3">
        <f>Table1[[#This Row],[Unit Price]]*Table1[[#This Row],[Units Sold]]</f>
        <v>7286933.1600000001</v>
      </c>
      <c r="G372" s="4">
        <v>45132</v>
      </c>
      <c r="H372" s="3" t="s">
        <v>11</v>
      </c>
      <c r="I372" s="6" t="s">
        <v>752</v>
      </c>
    </row>
    <row r="373" spans="1:9" x14ac:dyDescent="0.3">
      <c r="A373" s="5" t="s">
        <v>753</v>
      </c>
      <c r="B373" s="3" t="s">
        <v>93</v>
      </c>
      <c r="C373" s="3" t="s">
        <v>59</v>
      </c>
      <c r="D373" s="3">
        <v>46.8</v>
      </c>
      <c r="E373" s="3">
        <v>135211.15</v>
      </c>
      <c r="F373" s="3">
        <f>Table1[[#This Row],[Unit Price]]*Table1[[#This Row],[Units Sold]]</f>
        <v>6327881.8199999994</v>
      </c>
      <c r="G373" s="4">
        <v>45460</v>
      </c>
      <c r="H373" s="3" t="s">
        <v>1090</v>
      </c>
      <c r="I373" s="6" t="s">
        <v>754</v>
      </c>
    </row>
    <row r="374" spans="1:9" x14ac:dyDescent="0.3">
      <c r="A374" s="5" t="s">
        <v>755</v>
      </c>
      <c r="B374" s="3" t="s">
        <v>83</v>
      </c>
      <c r="C374" s="3" t="s">
        <v>59</v>
      </c>
      <c r="D374" s="3">
        <v>46.8</v>
      </c>
      <c r="E374" s="3">
        <v>111637.71</v>
      </c>
      <c r="F374" s="3">
        <f>Table1[[#This Row],[Unit Price]]*Table1[[#This Row],[Units Sold]]</f>
        <v>5224644.8279999997</v>
      </c>
      <c r="G374" s="4">
        <v>45361</v>
      </c>
      <c r="H374" s="3" t="s">
        <v>15</v>
      </c>
      <c r="I374" s="6" t="s">
        <v>756</v>
      </c>
    </row>
    <row r="375" spans="1:9" x14ac:dyDescent="0.3">
      <c r="A375" s="5" t="s">
        <v>757</v>
      </c>
      <c r="B375" s="3" t="s">
        <v>36</v>
      </c>
      <c r="C375" s="3" t="s">
        <v>76</v>
      </c>
      <c r="D375" s="3">
        <v>55</v>
      </c>
      <c r="E375" s="3">
        <v>160922.84</v>
      </c>
      <c r="F375" s="3">
        <v>8850756.1999999993</v>
      </c>
      <c r="G375" s="4">
        <v>45443</v>
      </c>
      <c r="H375" s="3" t="s">
        <v>1090</v>
      </c>
      <c r="I375" s="6" t="s">
        <v>758</v>
      </c>
    </row>
    <row r="376" spans="1:9" x14ac:dyDescent="0.3">
      <c r="A376" s="5" t="s">
        <v>759</v>
      </c>
      <c r="B376" s="3" t="s">
        <v>46</v>
      </c>
      <c r="C376" s="3" t="s">
        <v>19</v>
      </c>
      <c r="D376" s="3">
        <v>46.8</v>
      </c>
      <c r="E376" s="3">
        <v>248907.18</v>
      </c>
      <c r="F376" s="3">
        <f>Table1[[#This Row],[Unit Price]]*Table1[[#This Row],[Units Sold]]</f>
        <v>11648856.023999998</v>
      </c>
      <c r="G376" s="4">
        <v>45235</v>
      </c>
      <c r="H376" s="3" t="s">
        <v>15</v>
      </c>
      <c r="I376" s="6" t="s">
        <v>760</v>
      </c>
    </row>
    <row r="377" spans="1:9" x14ac:dyDescent="0.3">
      <c r="A377" s="5" t="s">
        <v>761</v>
      </c>
      <c r="B377" s="3" t="s">
        <v>36</v>
      </c>
      <c r="C377" s="3" t="s">
        <v>59</v>
      </c>
      <c r="D377" s="3">
        <v>46.8</v>
      </c>
      <c r="E377" s="3">
        <v>15935.22</v>
      </c>
      <c r="F377" s="3">
        <f>Table1[[#This Row],[Unit Price]]*Table1[[#This Row],[Units Sold]]</f>
        <v>745768.29599999997</v>
      </c>
      <c r="G377" s="4">
        <v>45438</v>
      </c>
      <c r="H377" s="3" t="s">
        <v>1090</v>
      </c>
      <c r="I377" s="6" t="s">
        <v>762</v>
      </c>
    </row>
    <row r="378" spans="1:9" x14ac:dyDescent="0.3">
      <c r="A378" s="5" t="s">
        <v>763</v>
      </c>
      <c r="B378" s="3" t="s">
        <v>13</v>
      </c>
      <c r="C378" s="3" t="s">
        <v>29</v>
      </c>
      <c r="D378" s="3">
        <v>46.8</v>
      </c>
      <c r="E378" s="3">
        <v>113461.81</v>
      </c>
      <c r="F378" s="3">
        <f>Table1[[#This Row],[Unit Price]]*Table1[[#This Row],[Units Sold]]</f>
        <v>5310012.7079999996</v>
      </c>
      <c r="G378" s="4">
        <v>45654</v>
      </c>
      <c r="H378" s="3" t="s">
        <v>1090</v>
      </c>
      <c r="I378" s="6" t="s">
        <v>764</v>
      </c>
    </row>
    <row r="379" spans="1:9" x14ac:dyDescent="0.3">
      <c r="A379" s="5" t="s">
        <v>1085</v>
      </c>
      <c r="B379" s="3" t="s">
        <v>33</v>
      </c>
      <c r="C379" s="3" t="s">
        <v>29</v>
      </c>
      <c r="D379" s="3">
        <v>14</v>
      </c>
      <c r="E379" s="3">
        <v>181688.35</v>
      </c>
      <c r="F379" s="3">
        <v>2543636.9</v>
      </c>
      <c r="G379" s="4">
        <v>45276</v>
      </c>
      <c r="H379" s="3" t="s">
        <v>51</v>
      </c>
      <c r="I379" s="6" t="s">
        <v>765</v>
      </c>
    </row>
    <row r="380" spans="1:9" x14ac:dyDescent="0.3">
      <c r="A380" s="5" t="s">
        <v>766</v>
      </c>
      <c r="B380" s="3" t="s">
        <v>39</v>
      </c>
      <c r="C380" s="3" t="s">
        <v>76</v>
      </c>
      <c r="D380" s="3">
        <v>46.8</v>
      </c>
      <c r="E380" s="3">
        <v>12344.49</v>
      </c>
      <c r="F380" s="3">
        <f>Table1[[#This Row],[Unit Price]]*Table1[[#This Row],[Units Sold]]</f>
        <v>577722.13199999998</v>
      </c>
      <c r="G380" s="4">
        <v>45436</v>
      </c>
      <c r="H380" s="3" t="s">
        <v>15</v>
      </c>
      <c r="I380" s="6" t="s">
        <v>1091</v>
      </c>
    </row>
    <row r="381" spans="1:9" x14ac:dyDescent="0.3">
      <c r="A381" s="5" t="s">
        <v>767</v>
      </c>
      <c r="B381" s="3" t="s">
        <v>1086</v>
      </c>
      <c r="C381" s="3" t="s">
        <v>29</v>
      </c>
      <c r="D381" s="3">
        <v>46.8</v>
      </c>
      <c r="E381" s="3">
        <v>22298.91</v>
      </c>
      <c r="F381" s="3">
        <f>Table1[[#This Row],[Unit Price]]*Table1[[#This Row],[Units Sold]]</f>
        <v>1043588.9879999999</v>
      </c>
      <c r="G381" s="4">
        <v>45507</v>
      </c>
      <c r="H381" s="3" t="s">
        <v>15</v>
      </c>
      <c r="I381" s="6" t="s">
        <v>768</v>
      </c>
    </row>
    <row r="382" spans="1:9" x14ac:dyDescent="0.3">
      <c r="A382" s="5" t="s">
        <v>769</v>
      </c>
      <c r="B382" s="3" t="s">
        <v>36</v>
      </c>
      <c r="C382" s="3" t="s">
        <v>76</v>
      </c>
      <c r="D382" s="3">
        <v>46.8</v>
      </c>
      <c r="E382" s="3">
        <v>155703.70000000001</v>
      </c>
      <c r="F382" s="3">
        <f>Table1[[#This Row],[Unit Price]]*Table1[[#This Row],[Units Sold]]</f>
        <v>7286933.1600000001</v>
      </c>
      <c r="G382" s="4">
        <v>45719</v>
      </c>
      <c r="H382" s="3" t="s">
        <v>15</v>
      </c>
      <c r="I382" s="6" t="s">
        <v>770</v>
      </c>
    </row>
    <row r="383" spans="1:9" x14ac:dyDescent="0.3">
      <c r="A383" s="5" t="s">
        <v>771</v>
      </c>
      <c r="B383" s="3" t="s">
        <v>49</v>
      </c>
      <c r="C383" s="3" t="s">
        <v>98</v>
      </c>
      <c r="D383" s="3">
        <v>46.8</v>
      </c>
      <c r="E383" s="3">
        <v>241492.86</v>
      </c>
      <c r="F383" s="3">
        <f>Table1[[#This Row],[Unit Price]]*Table1[[#This Row],[Units Sold]]</f>
        <v>11301865.847999999</v>
      </c>
      <c r="G383" s="4">
        <v>45592</v>
      </c>
      <c r="H383" s="3" t="s">
        <v>1090</v>
      </c>
      <c r="I383" s="6" t="s">
        <v>772</v>
      </c>
    </row>
    <row r="384" spans="1:9" x14ac:dyDescent="0.3">
      <c r="A384" s="5" t="s">
        <v>773</v>
      </c>
      <c r="B384" s="3" t="s">
        <v>119</v>
      </c>
      <c r="C384" s="3" t="s">
        <v>59</v>
      </c>
      <c r="D384" s="3">
        <v>46.8</v>
      </c>
      <c r="E384" s="3">
        <v>176481.31</v>
      </c>
      <c r="F384" s="3">
        <f>Table1[[#This Row],[Unit Price]]*Table1[[#This Row],[Units Sold]]</f>
        <v>8259325.3079999993</v>
      </c>
      <c r="G384" s="4">
        <v>45832</v>
      </c>
      <c r="H384" s="3" t="s">
        <v>15</v>
      </c>
      <c r="I384" s="6" t="s">
        <v>774</v>
      </c>
    </row>
    <row r="385" spans="1:9" x14ac:dyDescent="0.3">
      <c r="A385" s="5" t="s">
        <v>775</v>
      </c>
      <c r="B385" s="3" t="s">
        <v>87</v>
      </c>
      <c r="C385" s="3" t="s">
        <v>19</v>
      </c>
      <c r="D385" s="3">
        <v>46.8</v>
      </c>
      <c r="E385" s="3">
        <v>201599.43</v>
      </c>
      <c r="F385" s="3">
        <f>Table1[[#This Row],[Unit Price]]*Table1[[#This Row],[Units Sold]]</f>
        <v>9434853.3239999991</v>
      </c>
      <c r="G385" s="4">
        <v>45484</v>
      </c>
      <c r="H385" s="3" t="s">
        <v>1090</v>
      </c>
      <c r="I385" s="6" t="s">
        <v>776</v>
      </c>
    </row>
    <row r="386" spans="1:9" x14ac:dyDescent="0.3">
      <c r="A386" s="5" t="s">
        <v>777</v>
      </c>
      <c r="B386" s="3" t="s">
        <v>36</v>
      </c>
      <c r="C386" s="3" t="s">
        <v>76</v>
      </c>
      <c r="D386" s="3">
        <v>58</v>
      </c>
      <c r="E386" s="3">
        <v>65496.45</v>
      </c>
      <c r="F386" s="3">
        <v>3798794.1</v>
      </c>
      <c r="G386" s="4">
        <v>45795</v>
      </c>
      <c r="H386" s="3" t="s">
        <v>11</v>
      </c>
      <c r="I386" s="6" t="s">
        <v>778</v>
      </c>
    </row>
    <row r="387" spans="1:9" x14ac:dyDescent="0.3">
      <c r="A387" s="5" t="s">
        <v>779</v>
      </c>
      <c r="B387" s="3" t="s">
        <v>1086</v>
      </c>
      <c r="C387" s="3" t="s">
        <v>76</v>
      </c>
      <c r="D387" s="3">
        <v>46.8</v>
      </c>
      <c r="E387" s="3">
        <v>63062.28</v>
      </c>
      <c r="F387" s="3">
        <f>Table1[[#This Row],[Unit Price]]*Table1[[#This Row],[Units Sold]]</f>
        <v>2951314.7039999999</v>
      </c>
      <c r="G387" s="4">
        <v>45776</v>
      </c>
      <c r="H387" s="3" t="s">
        <v>51</v>
      </c>
      <c r="I387" s="6" t="s">
        <v>780</v>
      </c>
    </row>
    <row r="388" spans="1:9" x14ac:dyDescent="0.3">
      <c r="A388" s="5" t="s">
        <v>781</v>
      </c>
      <c r="B388" s="3" t="s">
        <v>46</v>
      </c>
      <c r="C388" s="3" t="s">
        <v>1089</v>
      </c>
      <c r="D388" s="3">
        <v>46.8</v>
      </c>
      <c r="E388" s="3">
        <v>272156.33</v>
      </c>
      <c r="F388" s="3">
        <f>Table1[[#This Row],[Unit Price]]*Table1[[#This Row],[Units Sold]]</f>
        <v>12736916.244000001</v>
      </c>
      <c r="G388" s="4">
        <v>45689</v>
      </c>
      <c r="H388" s="3" t="s">
        <v>30</v>
      </c>
      <c r="I388" s="6" t="s">
        <v>782</v>
      </c>
    </row>
    <row r="389" spans="1:9" x14ac:dyDescent="0.3">
      <c r="A389" s="5" t="s">
        <v>783</v>
      </c>
      <c r="B389" s="3" t="s">
        <v>1086</v>
      </c>
      <c r="C389" s="3" t="s">
        <v>19</v>
      </c>
      <c r="D389" s="3">
        <v>46.8</v>
      </c>
      <c r="E389" s="3">
        <v>91304.81</v>
      </c>
      <c r="F389" s="3">
        <f>Table1[[#This Row],[Unit Price]]*Table1[[#This Row],[Units Sold]]</f>
        <v>4273065.108</v>
      </c>
      <c r="G389" s="4">
        <v>45682</v>
      </c>
      <c r="H389" s="3" t="s">
        <v>11</v>
      </c>
      <c r="I389" s="6" t="s">
        <v>784</v>
      </c>
    </row>
    <row r="390" spans="1:9" x14ac:dyDescent="0.3">
      <c r="A390" s="5" t="s">
        <v>785</v>
      </c>
      <c r="B390" s="3" t="s">
        <v>49</v>
      </c>
      <c r="C390" s="3" t="s">
        <v>98</v>
      </c>
      <c r="D390" s="3">
        <v>8</v>
      </c>
      <c r="E390" s="3">
        <v>272743.75</v>
      </c>
      <c r="F390" s="3">
        <v>2181950</v>
      </c>
      <c r="G390" s="4">
        <v>45166</v>
      </c>
      <c r="H390" s="3" t="s">
        <v>15</v>
      </c>
      <c r="I390" s="6" t="s">
        <v>786</v>
      </c>
    </row>
    <row r="391" spans="1:9" x14ac:dyDescent="0.3">
      <c r="A391" s="5" t="s">
        <v>787</v>
      </c>
      <c r="B391" s="3" t="s">
        <v>143</v>
      </c>
      <c r="C391" s="3" t="s">
        <v>1089</v>
      </c>
      <c r="D391" s="3">
        <v>46.8</v>
      </c>
      <c r="E391" s="3">
        <v>63936.43</v>
      </c>
      <c r="F391" s="3">
        <f>Table1[[#This Row],[Unit Price]]*Table1[[#This Row],[Units Sold]]</f>
        <v>2992224.9239999996</v>
      </c>
      <c r="G391" s="4">
        <v>45666</v>
      </c>
      <c r="H391" s="3" t="s">
        <v>51</v>
      </c>
      <c r="I391" s="6" t="s">
        <v>788</v>
      </c>
    </row>
    <row r="392" spans="1:9" x14ac:dyDescent="0.3">
      <c r="A392" s="5" t="s">
        <v>1085</v>
      </c>
      <c r="B392" s="3" t="s">
        <v>119</v>
      </c>
      <c r="C392" s="3" t="s">
        <v>59</v>
      </c>
      <c r="D392" s="3">
        <v>46.8</v>
      </c>
      <c r="E392" s="3">
        <v>155703.70000000001</v>
      </c>
      <c r="F392" s="3">
        <f>Table1[[#This Row],[Unit Price]]*Table1[[#This Row],[Units Sold]]</f>
        <v>7286933.1600000001</v>
      </c>
      <c r="G392" s="4">
        <v>45225</v>
      </c>
      <c r="H392" s="3" t="s">
        <v>51</v>
      </c>
      <c r="I392" s="6" t="s">
        <v>789</v>
      </c>
    </row>
    <row r="393" spans="1:9" x14ac:dyDescent="0.3">
      <c r="A393" s="5" t="s">
        <v>790</v>
      </c>
      <c r="B393" s="3" t="s">
        <v>49</v>
      </c>
      <c r="C393" s="3" t="s">
        <v>50</v>
      </c>
      <c r="D393" s="3">
        <v>46.8</v>
      </c>
      <c r="E393" s="3">
        <v>57412.1</v>
      </c>
      <c r="F393" s="3">
        <f>Table1[[#This Row],[Unit Price]]*Table1[[#This Row],[Units Sold]]</f>
        <v>2686886.28</v>
      </c>
      <c r="G393" s="4">
        <v>45520</v>
      </c>
      <c r="H393" s="3" t="s">
        <v>51</v>
      </c>
      <c r="I393" s="6" t="s">
        <v>791</v>
      </c>
    </row>
    <row r="394" spans="1:9" x14ac:dyDescent="0.3">
      <c r="A394" s="5" t="s">
        <v>792</v>
      </c>
      <c r="B394" s="3" t="s">
        <v>119</v>
      </c>
      <c r="C394" s="3" t="s">
        <v>19</v>
      </c>
      <c r="D394" s="3">
        <v>87</v>
      </c>
      <c r="E394" s="3">
        <v>222571.82</v>
      </c>
      <c r="F394" s="3">
        <v>19363748.34</v>
      </c>
      <c r="G394" s="4">
        <v>45279</v>
      </c>
      <c r="H394" s="3" t="s">
        <v>51</v>
      </c>
      <c r="I394" s="6" t="s">
        <v>1091</v>
      </c>
    </row>
    <row r="395" spans="1:9" x14ac:dyDescent="0.3">
      <c r="A395" s="5" t="s">
        <v>793</v>
      </c>
      <c r="B395" s="3" t="s">
        <v>57</v>
      </c>
      <c r="C395" s="3" t="s">
        <v>50</v>
      </c>
      <c r="D395" s="3">
        <v>4</v>
      </c>
      <c r="E395" s="3">
        <v>224190.33</v>
      </c>
      <c r="F395" s="3">
        <v>896761.32</v>
      </c>
      <c r="G395" s="4">
        <v>45553</v>
      </c>
      <c r="H395" s="3" t="s">
        <v>15</v>
      </c>
      <c r="I395" s="6" t="s">
        <v>794</v>
      </c>
    </row>
    <row r="396" spans="1:9" x14ac:dyDescent="0.3">
      <c r="A396" s="5" t="s">
        <v>795</v>
      </c>
      <c r="B396" s="3" t="s">
        <v>22</v>
      </c>
      <c r="C396" s="3" t="s">
        <v>19</v>
      </c>
      <c r="D396" s="3">
        <v>46.8</v>
      </c>
      <c r="E396" s="3">
        <v>226422.06</v>
      </c>
      <c r="F396" s="3">
        <f>Table1[[#This Row],[Unit Price]]*Table1[[#This Row],[Units Sold]]</f>
        <v>10596552.408</v>
      </c>
      <c r="G396" s="4">
        <v>45370</v>
      </c>
      <c r="H396" s="3" t="s">
        <v>51</v>
      </c>
      <c r="I396" s="6" t="s">
        <v>796</v>
      </c>
    </row>
    <row r="397" spans="1:9" x14ac:dyDescent="0.3">
      <c r="A397" s="5" t="s">
        <v>797</v>
      </c>
      <c r="B397" s="3" t="s">
        <v>33</v>
      </c>
      <c r="C397" s="3" t="s">
        <v>98</v>
      </c>
      <c r="D397" s="3">
        <v>57</v>
      </c>
      <c r="E397" s="3">
        <v>274375.17</v>
      </c>
      <c r="F397" s="3">
        <v>15639384.689999999</v>
      </c>
      <c r="G397" s="4">
        <v>45632</v>
      </c>
      <c r="H397" s="3" t="s">
        <v>30</v>
      </c>
      <c r="I397" s="6" t="s">
        <v>798</v>
      </c>
    </row>
    <row r="398" spans="1:9" x14ac:dyDescent="0.3">
      <c r="A398" s="5" t="s">
        <v>799</v>
      </c>
      <c r="B398" s="3" t="s">
        <v>119</v>
      </c>
      <c r="C398" s="3" t="s">
        <v>1089</v>
      </c>
      <c r="D398" s="3">
        <v>17</v>
      </c>
      <c r="E398" s="3">
        <v>208840.07</v>
      </c>
      <c r="F398" s="3">
        <v>3550281.19</v>
      </c>
      <c r="G398" s="4">
        <v>45489</v>
      </c>
      <c r="H398" s="3" t="s">
        <v>30</v>
      </c>
      <c r="I398" s="6" t="s">
        <v>800</v>
      </c>
    </row>
    <row r="399" spans="1:9" x14ac:dyDescent="0.3">
      <c r="A399" s="5" t="s">
        <v>801</v>
      </c>
      <c r="B399" s="3" t="s">
        <v>36</v>
      </c>
      <c r="C399" s="3" t="s">
        <v>76</v>
      </c>
      <c r="D399" s="3">
        <v>46.8</v>
      </c>
      <c r="E399" s="3">
        <v>211278.69</v>
      </c>
      <c r="F399" s="3">
        <f>Table1[[#This Row],[Unit Price]]*Table1[[#This Row],[Units Sold]]</f>
        <v>9887842.6919999998</v>
      </c>
      <c r="G399" s="4">
        <v>45526</v>
      </c>
      <c r="H399" s="3" t="s">
        <v>51</v>
      </c>
      <c r="I399" s="6" t="s">
        <v>802</v>
      </c>
    </row>
    <row r="400" spans="1:9" x14ac:dyDescent="0.3">
      <c r="A400" s="5" t="s">
        <v>803</v>
      </c>
      <c r="B400" s="3" t="s">
        <v>46</v>
      </c>
      <c r="C400" s="3" t="s">
        <v>1089</v>
      </c>
      <c r="D400" s="3">
        <v>46.8</v>
      </c>
      <c r="E400" s="3">
        <v>119291.3</v>
      </c>
      <c r="F400" s="3">
        <f>Table1[[#This Row],[Unit Price]]*Table1[[#This Row],[Units Sold]]</f>
        <v>5582832.8399999999</v>
      </c>
      <c r="G400" s="4">
        <v>45410</v>
      </c>
      <c r="H400" s="3" t="s">
        <v>1090</v>
      </c>
      <c r="I400" s="6" t="s">
        <v>804</v>
      </c>
    </row>
    <row r="401" spans="1:9" x14ac:dyDescent="0.3">
      <c r="A401" s="5" t="s">
        <v>805</v>
      </c>
      <c r="B401" s="3" t="s">
        <v>66</v>
      </c>
      <c r="C401" s="3" t="s">
        <v>50</v>
      </c>
      <c r="D401" s="3">
        <v>46.8</v>
      </c>
      <c r="E401" s="3">
        <v>72179.62</v>
      </c>
      <c r="F401" s="3">
        <f>Table1[[#This Row],[Unit Price]]*Table1[[#This Row],[Units Sold]]</f>
        <v>3378006.2159999995</v>
      </c>
      <c r="G401" s="4">
        <v>45361</v>
      </c>
      <c r="H401" s="3" t="s">
        <v>15</v>
      </c>
      <c r="I401" s="6" t="s">
        <v>806</v>
      </c>
    </row>
    <row r="402" spans="1:9" x14ac:dyDescent="0.3">
      <c r="A402" s="5" t="s">
        <v>807</v>
      </c>
      <c r="B402" s="3" t="s">
        <v>1086</v>
      </c>
      <c r="C402" s="3" t="s">
        <v>19</v>
      </c>
      <c r="D402" s="3">
        <v>46.8</v>
      </c>
      <c r="E402" s="3">
        <v>155703.70000000001</v>
      </c>
      <c r="F402" s="3">
        <f>Table1[[#This Row],[Unit Price]]*Table1[[#This Row],[Units Sold]]</f>
        <v>7286933.1600000001</v>
      </c>
      <c r="G402" s="4">
        <v>45252</v>
      </c>
      <c r="H402" s="3" t="s">
        <v>30</v>
      </c>
      <c r="I402" s="7" t="s">
        <v>808</v>
      </c>
    </row>
    <row r="403" spans="1:9" x14ac:dyDescent="0.3">
      <c r="A403" s="5" t="s">
        <v>809</v>
      </c>
      <c r="B403" s="3" t="s">
        <v>22</v>
      </c>
      <c r="C403" s="3" t="s">
        <v>25</v>
      </c>
      <c r="D403" s="3">
        <v>46.8</v>
      </c>
      <c r="E403" s="3">
        <v>96823.7</v>
      </c>
      <c r="F403" s="3">
        <f>Table1[[#This Row],[Unit Price]]*Table1[[#This Row],[Units Sold]]</f>
        <v>4531349.1599999992</v>
      </c>
      <c r="G403" s="4">
        <v>45475</v>
      </c>
      <c r="H403" s="3" t="s">
        <v>30</v>
      </c>
      <c r="I403" s="6" t="s">
        <v>810</v>
      </c>
    </row>
    <row r="404" spans="1:9" x14ac:dyDescent="0.3">
      <c r="A404" s="5" t="s">
        <v>811</v>
      </c>
      <c r="B404" s="3" t="s">
        <v>93</v>
      </c>
      <c r="C404" s="3" t="s">
        <v>59</v>
      </c>
      <c r="D404" s="3">
        <v>46.8</v>
      </c>
      <c r="E404" s="3">
        <v>85276.23</v>
      </c>
      <c r="F404" s="3">
        <f>Table1[[#This Row],[Unit Price]]*Table1[[#This Row],[Units Sold]]</f>
        <v>3990927.5639999998</v>
      </c>
      <c r="G404" s="4">
        <v>45826</v>
      </c>
      <c r="H404" s="3" t="s">
        <v>30</v>
      </c>
      <c r="I404" s="6" t="s">
        <v>812</v>
      </c>
    </row>
    <row r="405" spans="1:9" x14ac:dyDescent="0.3">
      <c r="A405" s="5" t="s">
        <v>1085</v>
      </c>
      <c r="B405" s="3" t="s">
        <v>93</v>
      </c>
      <c r="C405" s="3" t="s">
        <v>76</v>
      </c>
      <c r="D405" s="3">
        <v>46.8</v>
      </c>
      <c r="E405" s="3">
        <v>140142.01</v>
      </c>
      <c r="F405" s="3">
        <f>Table1[[#This Row],[Unit Price]]*Table1[[#This Row],[Units Sold]]</f>
        <v>6558646.068</v>
      </c>
      <c r="G405" s="4">
        <v>45532</v>
      </c>
      <c r="H405" s="3" t="s">
        <v>11</v>
      </c>
      <c r="I405" s="6" t="s">
        <v>813</v>
      </c>
    </row>
    <row r="406" spans="1:9" x14ac:dyDescent="0.3">
      <c r="A406" s="5" t="s">
        <v>814</v>
      </c>
      <c r="B406" s="3" t="s">
        <v>46</v>
      </c>
      <c r="C406" s="3" t="s">
        <v>50</v>
      </c>
      <c r="D406" s="3">
        <v>98</v>
      </c>
      <c r="E406" s="3">
        <v>194792.04</v>
      </c>
      <c r="F406" s="3">
        <v>19089619.920000002</v>
      </c>
      <c r="G406" s="4">
        <v>45383</v>
      </c>
      <c r="H406" s="3" t="s">
        <v>11</v>
      </c>
      <c r="I406" s="6" t="s">
        <v>815</v>
      </c>
    </row>
    <row r="407" spans="1:9" x14ac:dyDescent="0.3">
      <c r="A407" s="5" t="s">
        <v>816</v>
      </c>
      <c r="B407" s="3" t="s">
        <v>13</v>
      </c>
      <c r="C407" s="3" t="s">
        <v>59</v>
      </c>
      <c r="D407" s="3">
        <v>74</v>
      </c>
      <c r="E407" s="3">
        <v>92872.47</v>
      </c>
      <c r="F407" s="3">
        <v>6872562.7800000003</v>
      </c>
      <c r="G407" s="4">
        <v>45542</v>
      </c>
      <c r="H407" s="3" t="s">
        <v>30</v>
      </c>
      <c r="I407" s="6" t="s">
        <v>817</v>
      </c>
    </row>
    <row r="408" spans="1:9" x14ac:dyDescent="0.3">
      <c r="A408" s="5" t="s">
        <v>818</v>
      </c>
      <c r="B408" s="3" t="s">
        <v>93</v>
      </c>
      <c r="C408" s="3" t="s">
        <v>76</v>
      </c>
      <c r="D408" s="3">
        <v>46.8</v>
      </c>
      <c r="E408" s="3">
        <v>108213.56</v>
      </c>
      <c r="F408" s="3">
        <f>Table1[[#This Row],[Unit Price]]*Table1[[#This Row],[Units Sold]]</f>
        <v>5064394.608</v>
      </c>
      <c r="G408" s="4">
        <v>45393</v>
      </c>
      <c r="H408" s="3" t="s">
        <v>1090</v>
      </c>
      <c r="I408" s="6" t="s">
        <v>1091</v>
      </c>
    </row>
    <row r="409" spans="1:9" x14ac:dyDescent="0.3">
      <c r="A409" s="5" t="s">
        <v>819</v>
      </c>
      <c r="B409" s="3" t="s">
        <v>97</v>
      </c>
      <c r="C409" s="3" t="s">
        <v>59</v>
      </c>
      <c r="D409" s="3">
        <v>46.8</v>
      </c>
      <c r="E409" s="3">
        <v>264902.18</v>
      </c>
      <c r="F409" s="3">
        <f>Table1[[#This Row],[Unit Price]]*Table1[[#This Row],[Units Sold]]</f>
        <v>12397422.023999998</v>
      </c>
      <c r="G409" s="4">
        <v>45642</v>
      </c>
      <c r="H409" s="3" t="s">
        <v>15</v>
      </c>
      <c r="I409" s="6" t="s">
        <v>820</v>
      </c>
    </row>
    <row r="410" spans="1:9" x14ac:dyDescent="0.3">
      <c r="A410" s="5" t="s">
        <v>821</v>
      </c>
      <c r="B410" s="3" t="s">
        <v>46</v>
      </c>
      <c r="C410" s="3" t="s">
        <v>19</v>
      </c>
      <c r="D410" s="3">
        <v>46.8</v>
      </c>
      <c r="E410" s="3">
        <v>140068.22</v>
      </c>
      <c r="F410" s="3">
        <f>Table1[[#This Row],[Unit Price]]*Table1[[#This Row],[Units Sold]]</f>
        <v>6555192.6959999995</v>
      </c>
      <c r="G410" s="4">
        <v>45717</v>
      </c>
      <c r="H410" s="3" t="s">
        <v>15</v>
      </c>
      <c r="I410" s="6" t="s">
        <v>822</v>
      </c>
    </row>
    <row r="411" spans="1:9" x14ac:dyDescent="0.3">
      <c r="A411" s="5" t="s">
        <v>823</v>
      </c>
      <c r="B411" s="3" t="s">
        <v>22</v>
      </c>
      <c r="C411" s="3" t="s">
        <v>98</v>
      </c>
      <c r="D411" s="3">
        <v>32</v>
      </c>
      <c r="E411" s="3">
        <v>240943.58</v>
      </c>
      <c r="F411" s="3">
        <v>7710194.5599999996</v>
      </c>
      <c r="G411" s="4">
        <v>45791</v>
      </c>
      <c r="H411" s="3" t="s">
        <v>30</v>
      </c>
      <c r="I411" s="6" t="s">
        <v>824</v>
      </c>
    </row>
    <row r="412" spans="1:9" x14ac:dyDescent="0.3">
      <c r="A412" s="5" t="s">
        <v>825</v>
      </c>
      <c r="B412" s="3" t="s">
        <v>18</v>
      </c>
      <c r="C412" s="3" t="s">
        <v>50</v>
      </c>
      <c r="D412" s="3">
        <v>46.8</v>
      </c>
      <c r="E412" s="3">
        <v>155703.70000000001</v>
      </c>
      <c r="F412" s="3">
        <f>Table1[[#This Row],[Unit Price]]*Table1[[#This Row],[Units Sold]]</f>
        <v>7286933.1600000001</v>
      </c>
      <c r="G412" s="4">
        <v>45677</v>
      </c>
      <c r="H412" s="3" t="s">
        <v>30</v>
      </c>
      <c r="I412" s="6" t="s">
        <v>826</v>
      </c>
    </row>
    <row r="413" spans="1:9" x14ac:dyDescent="0.3">
      <c r="A413" s="5" t="s">
        <v>827</v>
      </c>
      <c r="B413" s="3" t="s">
        <v>93</v>
      </c>
      <c r="C413" s="3" t="s">
        <v>29</v>
      </c>
      <c r="D413" s="3">
        <v>46.8</v>
      </c>
      <c r="E413" s="3">
        <v>216862.87</v>
      </c>
      <c r="F413" s="3">
        <f>Table1[[#This Row],[Unit Price]]*Table1[[#This Row],[Units Sold]]</f>
        <v>10149182.316</v>
      </c>
      <c r="G413" s="4">
        <v>45646</v>
      </c>
      <c r="H413" s="3" t="s">
        <v>15</v>
      </c>
      <c r="I413" s="6" t="s">
        <v>828</v>
      </c>
    </row>
    <row r="414" spans="1:9" x14ac:dyDescent="0.3">
      <c r="A414" s="5" t="s">
        <v>829</v>
      </c>
      <c r="B414" s="3" t="s">
        <v>33</v>
      </c>
      <c r="C414" s="3" t="s">
        <v>25</v>
      </c>
      <c r="D414" s="3">
        <v>46.8</v>
      </c>
      <c r="E414" s="3">
        <v>228607.88</v>
      </c>
      <c r="F414" s="3">
        <f>Table1[[#This Row],[Unit Price]]*Table1[[#This Row],[Units Sold]]</f>
        <v>10698848.784</v>
      </c>
      <c r="G414" s="4">
        <v>45617</v>
      </c>
      <c r="H414" s="3" t="s">
        <v>1090</v>
      </c>
      <c r="I414" s="6" t="s">
        <v>830</v>
      </c>
    </row>
    <row r="415" spans="1:9" x14ac:dyDescent="0.3">
      <c r="A415" s="5" t="s">
        <v>831</v>
      </c>
      <c r="B415" s="3" t="s">
        <v>115</v>
      </c>
      <c r="C415" s="3" t="s">
        <v>29</v>
      </c>
      <c r="D415" s="3">
        <v>72</v>
      </c>
      <c r="E415" s="3">
        <v>96409.87</v>
      </c>
      <c r="F415" s="3">
        <v>6941510.6399999997</v>
      </c>
      <c r="G415" s="4">
        <v>45742</v>
      </c>
      <c r="H415" s="3" t="s">
        <v>11</v>
      </c>
      <c r="I415" s="6" t="s">
        <v>832</v>
      </c>
    </row>
    <row r="416" spans="1:9" x14ac:dyDescent="0.3">
      <c r="A416" s="5" t="s">
        <v>833</v>
      </c>
      <c r="B416" s="3" t="s">
        <v>49</v>
      </c>
      <c r="C416" s="3" t="s">
        <v>50</v>
      </c>
      <c r="D416" s="3">
        <v>46.8</v>
      </c>
      <c r="E416" s="3">
        <v>61336.68</v>
      </c>
      <c r="F416" s="3">
        <f>Table1[[#This Row],[Unit Price]]*Table1[[#This Row],[Units Sold]]</f>
        <v>2870556.6239999998</v>
      </c>
      <c r="G416" s="4">
        <v>45656</v>
      </c>
      <c r="H416" s="3" t="s">
        <v>11</v>
      </c>
      <c r="I416" s="6" t="s">
        <v>834</v>
      </c>
    </row>
    <row r="417" spans="1:9" x14ac:dyDescent="0.3">
      <c r="A417" s="5" t="s">
        <v>835</v>
      </c>
      <c r="B417" s="3" t="s">
        <v>230</v>
      </c>
      <c r="C417" s="3" t="s">
        <v>76</v>
      </c>
      <c r="D417" s="3">
        <v>46.8</v>
      </c>
      <c r="E417" s="3">
        <v>94220.14</v>
      </c>
      <c r="F417" s="3">
        <f>Table1[[#This Row],[Unit Price]]*Table1[[#This Row],[Units Sold]]</f>
        <v>4409502.5520000001</v>
      </c>
      <c r="G417" s="4">
        <v>45323</v>
      </c>
      <c r="H417" s="3" t="s">
        <v>30</v>
      </c>
      <c r="I417" s="6" t="s">
        <v>836</v>
      </c>
    </row>
    <row r="418" spans="1:9" x14ac:dyDescent="0.3">
      <c r="A418" s="5" t="s">
        <v>1085</v>
      </c>
      <c r="B418" s="3" t="s">
        <v>22</v>
      </c>
      <c r="C418" s="3" t="s">
        <v>50</v>
      </c>
      <c r="D418" s="3">
        <v>46.8</v>
      </c>
      <c r="E418" s="3">
        <v>14191.78</v>
      </c>
      <c r="F418" s="3">
        <f>Table1[[#This Row],[Unit Price]]*Table1[[#This Row],[Units Sold]]</f>
        <v>664175.304</v>
      </c>
      <c r="G418" s="4">
        <v>45591</v>
      </c>
      <c r="H418" s="3" t="s">
        <v>15</v>
      </c>
      <c r="I418" s="6" t="s">
        <v>837</v>
      </c>
    </row>
    <row r="419" spans="1:9" x14ac:dyDescent="0.3">
      <c r="A419" s="5" t="s">
        <v>838</v>
      </c>
      <c r="B419" s="3" t="s">
        <v>57</v>
      </c>
      <c r="C419" s="3" t="s">
        <v>50</v>
      </c>
      <c r="D419" s="3">
        <v>46.8</v>
      </c>
      <c r="E419" s="3">
        <v>259293.41</v>
      </c>
      <c r="F419" s="3">
        <f>Table1[[#This Row],[Unit Price]]*Table1[[#This Row],[Units Sold]]</f>
        <v>12134931.588</v>
      </c>
      <c r="G419" s="4">
        <v>45494</v>
      </c>
      <c r="H419" s="3" t="s">
        <v>11</v>
      </c>
      <c r="I419" s="6" t="s">
        <v>839</v>
      </c>
    </row>
    <row r="420" spans="1:9" x14ac:dyDescent="0.3">
      <c r="A420" s="5" t="s">
        <v>840</v>
      </c>
      <c r="B420" s="3" t="s">
        <v>83</v>
      </c>
      <c r="C420" s="3" t="s">
        <v>19</v>
      </c>
      <c r="D420" s="3">
        <v>63</v>
      </c>
      <c r="E420" s="3">
        <v>222505.09</v>
      </c>
      <c r="F420" s="3">
        <v>14017820.67</v>
      </c>
      <c r="G420" s="4">
        <v>45267</v>
      </c>
      <c r="H420" s="3" t="s">
        <v>1090</v>
      </c>
      <c r="I420" s="6" t="s">
        <v>841</v>
      </c>
    </row>
    <row r="421" spans="1:9" x14ac:dyDescent="0.3">
      <c r="A421" s="5" t="s">
        <v>842</v>
      </c>
      <c r="B421" s="3" t="s">
        <v>119</v>
      </c>
      <c r="C421" s="3" t="s">
        <v>1089</v>
      </c>
      <c r="D421" s="3">
        <v>16</v>
      </c>
      <c r="E421" s="3">
        <v>5357.86</v>
      </c>
      <c r="F421" s="3">
        <v>85725.759999999995</v>
      </c>
      <c r="G421" s="4">
        <v>45309</v>
      </c>
      <c r="H421" s="3" t="s">
        <v>30</v>
      </c>
      <c r="I421" s="6" t="s">
        <v>843</v>
      </c>
    </row>
    <row r="422" spans="1:9" x14ac:dyDescent="0.3">
      <c r="A422" s="5" t="s">
        <v>844</v>
      </c>
      <c r="B422" s="3" t="s">
        <v>143</v>
      </c>
      <c r="C422" s="3" t="s">
        <v>25</v>
      </c>
      <c r="D422" s="3">
        <v>46.8</v>
      </c>
      <c r="E422" s="3">
        <v>155703.70000000001</v>
      </c>
      <c r="F422" s="3">
        <f>Table1[[#This Row],[Unit Price]]*Table1[[#This Row],[Units Sold]]</f>
        <v>7286933.1600000001</v>
      </c>
      <c r="G422" s="4">
        <v>45334</v>
      </c>
      <c r="H422" s="3" t="s">
        <v>51</v>
      </c>
      <c r="I422" s="6" t="s">
        <v>1091</v>
      </c>
    </row>
    <row r="423" spans="1:9" x14ac:dyDescent="0.3">
      <c r="A423" s="5" t="s">
        <v>845</v>
      </c>
      <c r="B423" s="3" t="s">
        <v>22</v>
      </c>
      <c r="C423" s="3" t="s">
        <v>98</v>
      </c>
      <c r="D423" s="3">
        <v>46.8</v>
      </c>
      <c r="E423" s="3">
        <v>166216.81</v>
      </c>
      <c r="F423" s="3">
        <f>Table1[[#This Row],[Unit Price]]*Table1[[#This Row],[Units Sold]]</f>
        <v>7778946.7079999996</v>
      </c>
      <c r="G423" s="4">
        <v>45551</v>
      </c>
      <c r="H423" s="3" t="s">
        <v>30</v>
      </c>
      <c r="I423" s="6" t="s">
        <v>846</v>
      </c>
    </row>
    <row r="424" spans="1:9" x14ac:dyDescent="0.3">
      <c r="A424" s="5" t="s">
        <v>847</v>
      </c>
      <c r="B424" s="3" t="s">
        <v>22</v>
      </c>
      <c r="C424" s="3" t="s">
        <v>98</v>
      </c>
      <c r="D424" s="3">
        <v>57</v>
      </c>
      <c r="E424" s="3">
        <v>175417.55</v>
      </c>
      <c r="F424" s="3">
        <v>9998800.3499999996</v>
      </c>
      <c r="G424" s="4">
        <v>45349</v>
      </c>
      <c r="H424" s="3" t="s">
        <v>51</v>
      </c>
      <c r="I424" s="6" t="s">
        <v>848</v>
      </c>
    </row>
    <row r="425" spans="1:9" x14ac:dyDescent="0.3">
      <c r="A425" s="5" t="s">
        <v>849</v>
      </c>
      <c r="B425" s="3" t="s">
        <v>13</v>
      </c>
      <c r="C425" s="3" t="s">
        <v>59</v>
      </c>
      <c r="D425" s="3">
        <v>46.8</v>
      </c>
      <c r="E425" s="3">
        <v>216143.58</v>
      </c>
      <c r="F425" s="3">
        <f>Table1[[#This Row],[Unit Price]]*Table1[[#This Row],[Units Sold]]</f>
        <v>10115519.543999998</v>
      </c>
      <c r="G425" s="4">
        <v>45292</v>
      </c>
      <c r="H425" s="3" t="s">
        <v>30</v>
      </c>
      <c r="I425" s="6" t="s">
        <v>850</v>
      </c>
    </row>
    <row r="426" spans="1:9" x14ac:dyDescent="0.3">
      <c r="A426" s="5" t="s">
        <v>851</v>
      </c>
      <c r="B426" s="3" t="s">
        <v>57</v>
      </c>
      <c r="C426" s="3" t="s">
        <v>98</v>
      </c>
      <c r="D426" s="3">
        <v>46.8</v>
      </c>
      <c r="E426" s="3">
        <v>88910.09</v>
      </c>
      <c r="F426" s="3">
        <f>Table1[[#This Row],[Unit Price]]*Table1[[#This Row],[Units Sold]]</f>
        <v>4160992.2119999994</v>
      </c>
      <c r="G426" s="4">
        <v>45349</v>
      </c>
      <c r="H426" s="3" t="s">
        <v>15</v>
      </c>
      <c r="I426" s="6" t="s">
        <v>852</v>
      </c>
    </row>
    <row r="427" spans="1:9" x14ac:dyDescent="0.3">
      <c r="A427" s="5" t="s">
        <v>853</v>
      </c>
      <c r="B427" s="3" t="s">
        <v>115</v>
      </c>
      <c r="C427" s="3" t="s">
        <v>25</v>
      </c>
      <c r="D427" s="3">
        <v>91</v>
      </c>
      <c r="E427" s="3">
        <v>59259.44</v>
      </c>
      <c r="F427" s="3">
        <v>5392609.04</v>
      </c>
      <c r="G427" s="4">
        <v>45716</v>
      </c>
      <c r="H427" s="3" t="s">
        <v>15</v>
      </c>
      <c r="I427" s="6" t="s">
        <v>854</v>
      </c>
    </row>
    <row r="428" spans="1:9" x14ac:dyDescent="0.3">
      <c r="A428" s="5" t="s">
        <v>855</v>
      </c>
      <c r="B428" s="3" t="s">
        <v>97</v>
      </c>
      <c r="C428" s="3" t="s">
        <v>59</v>
      </c>
      <c r="D428" s="3">
        <v>46.8</v>
      </c>
      <c r="E428" s="3">
        <v>69390.58</v>
      </c>
      <c r="F428" s="3">
        <f>Table1[[#This Row],[Unit Price]]*Table1[[#This Row],[Units Sold]]</f>
        <v>3247479.1439999999</v>
      </c>
      <c r="G428" s="4">
        <v>45342</v>
      </c>
      <c r="H428" s="3" t="s">
        <v>15</v>
      </c>
      <c r="I428" s="6" t="s">
        <v>856</v>
      </c>
    </row>
    <row r="429" spans="1:9" x14ac:dyDescent="0.3">
      <c r="A429" s="5" t="s">
        <v>857</v>
      </c>
      <c r="B429" s="3" t="s">
        <v>18</v>
      </c>
      <c r="C429" s="3" t="s">
        <v>59</v>
      </c>
      <c r="D429" s="3">
        <v>46.8</v>
      </c>
      <c r="E429" s="3">
        <v>171151.96</v>
      </c>
      <c r="F429" s="3">
        <f>Table1[[#This Row],[Unit Price]]*Table1[[#This Row],[Units Sold]]</f>
        <v>8009911.7279999992</v>
      </c>
      <c r="G429" s="4">
        <v>45665</v>
      </c>
      <c r="H429" s="3" t="s">
        <v>15</v>
      </c>
      <c r="I429" s="6" t="s">
        <v>858</v>
      </c>
    </row>
    <row r="430" spans="1:9" x14ac:dyDescent="0.3">
      <c r="A430" s="5" t="s">
        <v>859</v>
      </c>
      <c r="B430" s="3" t="s">
        <v>39</v>
      </c>
      <c r="C430" s="3" t="s">
        <v>76</v>
      </c>
      <c r="D430" s="3">
        <v>46.8</v>
      </c>
      <c r="E430" s="3">
        <v>74096.14</v>
      </c>
      <c r="F430" s="3">
        <f>Table1[[#This Row],[Unit Price]]*Table1[[#This Row],[Units Sold]]</f>
        <v>3467699.352</v>
      </c>
      <c r="G430" s="4">
        <v>45278</v>
      </c>
      <c r="H430" s="3" t="s">
        <v>1090</v>
      </c>
      <c r="I430" s="6" t="s">
        <v>860</v>
      </c>
    </row>
    <row r="431" spans="1:9" x14ac:dyDescent="0.3">
      <c r="A431" s="5" t="s">
        <v>1085</v>
      </c>
      <c r="B431" s="3" t="s">
        <v>18</v>
      </c>
      <c r="C431" s="3" t="s">
        <v>1089</v>
      </c>
      <c r="D431" s="3">
        <v>46.8</v>
      </c>
      <c r="E431" s="3">
        <v>165417.44</v>
      </c>
      <c r="F431" s="3">
        <f>Table1[[#This Row],[Unit Price]]*Table1[[#This Row],[Units Sold]]</f>
        <v>7741536.1919999998</v>
      </c>
      <c r="G431" s="4">
        <v>45654</v>
      </c>
      <c r="H431" s="3" t="s">
        <v>1090</v>
      </c>
      <c r="I431" s="6" t="s">
        <v>861</v>
      </c>
    </row>
    <row r="432" spans="1:9" x14ac:dyDescent="0.3">
      <c r="A432" s="5" t="s">
        <v>862</v>
      </c>
      <c r="B432" s="3" t="s">
        <v>119</v>
      </c>
      <c r="C432" s="3" t="s">
        <v>29</v>
      </c>
      <c r="D432" s="3">
        <v>82</v>
      </c>
      <c r="E432" s="3">
        <v>155703.70000000001</v>
      </c>
      <c r="F432" s="3">
        <f>Table1[[#This Row],[Unit Price]]*Table1[[#This Row],[Units Sold]]</f>
        <v>12767703.4</v>
      </c>
      <c r="G432" s="4">
        <v>45665</v>
      </c>
      <c r="H432" s="3" t="s">
        <v>51</v>
      </c>
      <c r="I432" s="6" t="s">
        <v>863</v>
      </c>
    </row>
    <row r="433" spans="1:9" x14ac:dyDescent="0.3">
      <c r="A433" s="5" t="s">
        <v>864</v>
      </c>
      <c r="B433" s="3" t="s">
        <v>62</v>
      </c>
      <c r="C433" s="3" t="s">
        <v>76</v>
      </c>
      <c r="D433" s="3">
        <v>46.8</v>
      </c>
      <c r="E433" s="3">
        <v>283067.63</v>
      </c>
      <c r="F433" s="3">
        <f>Table1[[#This Row],[Unit Price]]*Table1[[#This Row],[Units Sold]]</f>
        <v>13247565.083999999</v>
      </c>
      <c r="G433" s="4">
        <v>45497</v>
      </c>
      <c r="H433" s="3" t="s">
        <v>1090</v>
      </c>
      <c r="I433" s="6" t="s">
        <v>865</v>
      </c>
    </row>
    <row r="434" spans="1:9" x14ac:dyDescent="0.3">
      <c r="A434" s="5" t="s">
        <v>866</v>
      </c>
      <c r="B434" s="3" t="s">
        <v>115</v>
      </c>
      <c r="C434" s="3" t="s">
        <v>1089</v>
      </c>
      <c r="D434" s="3">
        <v>29</v>
      </c>
      <c r="E434" s="3">
        <v>101600.5</v>
      </c>
      <c r="F434" s="3">
        <v>2946414.5</v>
      </c>
      <c r="G434" s="4">
        <v>45364</v>
      </c>
      <c r="H434" s="3" t="s">
        <v>30</v>
      </c>
      <c r="I434" s="6" t="s">
        <v>868</v>
      </c>
    </row>
    <row r="435" spans="1:9" x14ac:dyDescent="0.3">
      <c r="A435" s="5" t="s">
        <v>869</v>
      </c>
      <c r="B435" s="3" t="s">
        <v>36</v>
      </c>
      <c r="C435" s="3" t="s">
        <v>1089</v>
      </c>
      <c r="D435" s="3">
        <v>26</v>
      </c>
      <c r="E435" s="3">
        <v>229126.51</v>
      </c>
      <c r="F435" s="3">
        <v>5957289.2599999998</v>
      </c>
      <c r="G435" s="4">
        <v>45490</v>
      </c>
      <c r="H435" s="3" t="s">
        <v>15</v>
      </c>
      <c r="I435" s="6" t="s">
        <v>870</v>
      </c>
    </row>
    <row r="436" spans="1:9" x14ac:dyDescent="0.3">
      <c r="A436" s="5" t="s">
        <v>871</v>
      </c>
      <c r="B436" s="3" t="s">
        <v>97</v>
      </c>
      <c r="C436" s="3" t="s">
        <v>1089</v>
      </c>
      <c r="D436" s="3">
        <v>46.8</v>
      </c>
      <c r="E436" s="3">
        <v>146842.01999999999</v>
      </c>
      <c r="F436" s="3">
        <f>Table1[[#This Row],[Unit Price]]*Table1[[#This Row],[Units Sold]]</f>
        <v>6872206.5359999994</v>
      </c>
      <c r="G436" s="4">
        <v>45388</v>
      </c>
      <c r="H436" s="3" t="s">
        <v>11</v>
      </c>
      <c r="I436" s="6" t="s">
        <v>1091</v>
      </c>
    </row>
    <row r="437" spans="1:9" x14ac:dyDescent="0.3">
      <c r="A437" s="5" t="s">
        <v>872</v>
      </c>
      <c r="B437" s="3" t="s">
        <v>13</v>
      </c>
      <c r="C437" s="3" t="s">
        <v>50</v>
      </c>
      <c r="D437" s="3">
        <v>46.8</v>
      </c>
      <c r="E437" s="3">
        <v>217205.6</v>
      </c>
      <c r="F437" s="3">
        <f>Table1[[#This Row],[Unit Price]]*Table1[[#This Row],[Units Sold]]</f>
        <v>10165222.08</v>
      </c>
      <c r="G437" s="4">
        <v>45553</v>
      </c>
      <c r="H437" s="3" t="s">
        <v>11</v>
      </c>
      <c r="I437" s="6" t="s">
        <v>873</v>
      </c>
    </row>
    <row r="438" spans="1:9" x14ac:dyDescent="0.3">
      <c r="A438" s="5" t="s">
        <v>874</v>
      </c>
      <c r="B438" s="3" t="s">
        <v>33</v>
      </c>
      <c r="C438" s="3" t="s">
        <v>76</v>
      </c>
      <c r="D438" s="3">
        <v>46.8</v>
      </c>
      <c r="E438" s="3">
        <v>222008.43</v>
      </c>
      <c r="F438" s="3">
        <f>Table1[[#This Row],[Unit Price]]*Table1[[#This Row],[Units Sold]]</f>
        <v>10389994.523999998</v>
      </c>
      <c r="G438" s="4">
        <v>45843</v>
      </c>
      <c r="H438" s="3" t="s">
        <v>11</v>
      </c>
      <c r="I438" s="6" t="s">
        <v>875</v>
      </c>
    </row>
    <row r="439" spans="1:9" x14ac:dyDescent="0.3">
      <c r="A439" s="5" t="s">
        <v>876</v>
      </c>
      <c r="B439" s="3" t="s">
        <v>18</v>
      </c>
      <c r="C439" s="3" t="s">
        <v>29</v>
      </c>
      <c r="D439" s="3">
        <v>46.8</v>
      </c>
      <c r="E439" s="3">
        <v>138518.29</v>
      </c>
      <c r="F439" s="3">
        <f>Table1[[#This Row],[Unit Price]]*Table1[[#This Row],[Units Sold]]</f>
        <v>6482655.9720000001</v>
      </c>
      <c r="G439" s="4">
        <v>45843</v>
      </c>
      <c r="H439" s="3" t="s">
        <v>30</v>
      </c>
      <c r="I439" s="6" t="s">
        <v>877</v>
      </c>
    </row>
    <row r="440" spans="1:9" x14ac:dyDescent="0.3">
      <c r="A440" s="5" t="s">
        <v>878</v>
      </c>
      <c r="B440" s="3" t="s">
        <v>93</v>
      </c>
      <c r="C440" s="3" t="s">
        <v>19</v>
      </c>
      <c r="D440" s="3">
        <v>71</v>
      </c>
      <c r="E440" s="3">
        <v>219965.28</v>
      </c>
      <c r="F440" s="3">
        <v>15617534.880000001</v>
      </c>
      <c r="G440" s="4">
        <v>45735</v>
      </c>
      <c r="H440" s="3" t="s">
        <v>11</v>
      </c>
      <c r="I440" s="6" t="s">
        <v>879</v>
      </c>
    </row>
    <row r="441" spans="1:9" x14ac:dyDescent="0.3">
      <c r="A441" s="5" t="s">
        <v>880</v>
      </c>
      <c r="B441" s="3" t="s">
        <v>87</v>
      </c>
      <c r="C441" s="3" t="s">
        <v>1089</v>
      </c>
      <c r="D441" s="3">
        <v>79</v>
      </c>
      <c r="E441" s="3">
        <v>105976.76</v>
      </c>
      <c r="F441" s="3">
        <v>8372164.04</v>
      </c>
      <c r="G441" s="4">
        <v>45678</v>
      </c>
      <c r="H441" s="3" t="s">
        <v>11</v>
      </c>
      <c r="I441" s="6" t="s">
        <v>881</v>
      </c>
    </row>
    <row r="442" spans="1:9" x14ac:dyDescent="0.3">
      <c r="A442" s="5" t="s">
        <v>882</v>
      </c>
      <c r="B442" s="3" t="s">
        <v>18</v>
      </c>
      <c r="C442" s="3" t="s">
        <v>29</v>
      </c>
      <c r="D442" s="3">
        <v>46.8</v>
      </c>
      <c r="E442" s="3">
        <v>155703.70000000001</v>
      </c>
      <c r="F442" s="3">
        <f>Table1[[#This Row],[Unit Price]]*Table1[[#This Row],[Units Sold]]</f>
        <v>7286933.1600000001</v>
      </c>
      <c r="G442" s="4">
        <v>45330</v>
      </c>
      <c r="H442" s="3" t="s">
        <v>51</v>
      </c>
      <c r="I442" s="6" t="s">
        <v>883</v>
      </c>
    </row>
    <row r="443" spans="1:9" x14ac:dyDescent="0.3">
      <c r="A443" s="5" t="s">
        <v>884</v>
      </c>
      <c r="B443" s="3" t="s">
        <v>49</v>
      </c>
      <c r="C443" s="3" t="s">
        <v>19</v>
      </c>
      <c r="D443" s="3">
        <v>46.8</v>
      </c>
      <c r="E443" s="3">
        <v>42417.58</v>
      </c>
      <c r="F443" s="3">
        <f>Table1[[#This Row],[Unit Price]]*Table1[[#This Row],[Units Sold]]</f>
        <v>1985142.7439999999</v>
      </c>
      <c r="G443" s="4">
        <v>45341</v>
      </c>
      <c r="H443" s="3" t="s">
        <v>30</v>
      </c>
      <c r="I443" s="6" t="s">
        <v>885</v>
      </c>
    </row>
    <row r="444" spans="1:9" x14ac:dyDescent="0.3">
      <c r="A444" s="5" t="s">
        <v>1085</v>
      </c>
      <c r="B444" s="3" t="s">
        <v>33</v>
      </c>
      <c r="C444" s="3" t="s">
        <v>25</v>
      </c>
      <c r="D444" s="3">
        <v>46.8</v>
      </c>
      <c r="E444" s="3">
        <v>164190.63</v>
      </c>
      <c r="F444" s="3">
        <f>Table1[[#This Row],[Unit Price]]*Table1[[#This Row],[Units Sold]]</f>
        <v>7684121.4840000002</v>
      </c>
      <c r="G444" s="4">
        <v>45212</v>
      </c>
      <c r="H444" s="3" t="s">
        <v>30</v>
      </c>
      <c r="I444" s="6" t="s">
        <v>886</v>
      </c>
    </row>
    <row r="445" spans="1:9" x14ac:dyDescent="0.3">
      <c r="A445" s="5" t="s">
        <v>887</v>
      </c>
      <c r="B445" s="3" t="s">
        <v>66</v>
      </c>
      <c r="C445" s="3" t="s">
        <v>19</v>
      </c>
      <c r="D445" s="3">
        <v>46.8</v>
      </c>
      <c r="E445" s="3">
        <v>55622.31</v>
      </c>
      <c r="F445" s="3">
        <f>Table1[[#This Row],[Unit Price]]*Table1[[#This Row],[Units Sold]]</f>
        <v>2603124.1079999995</v>
      </c>
      <c r="G445" s="4">
        <v>45563</v>
      </c>
      <c r="H445" s="3" t="s">
        <v>11</v>
      </c>
      <c r="I445" s="6" t="s">
        <v>888</v>
      </c>
    </row>
    <row r="446" spans="1:9" x14ac:dyDescent="0.3">
      <c r="A446" s="5" t="s">
        <v>889</v>
      </c>
      <c r="B446" s="3" t="s">
        <v>46</v>
      </c>
      <c r="C446" s="3" t="s">
        <v>25</v>
      </c>
      <c r="D446" s="3">
        <v>46.8</v>
      </c>
      <c r="E446" s="3">
        <v>266864.68</v>
      </c>
      <c r="F446" s="3">
        <f>Table1[[#This Row],[Unit Price]]*Table1[[#This Row],[Units Sold]]</f>
        <v>12489267.023999998</v>
      </c>
      <c r="G446" s="4">
        <v>45643</v>
      </c>
      <c r="H446" s="3" t="s">
        <v>30</v>
      </c>
      <c r="I446" s="6" t="s">
        <v>890</v>
      </c>
    </row>
    <row r="447" spans="1:9" x14ac:dyDescent="0.3">
      <c r="A447" s="5" t="s">
        <v>891</v>
      </c>
      <c r="B447" s="3" t="s">
        <v>119</v>
      </c>
      <c r="C447" s="3" t="s">
        <v>98</v>
      </c>
      <c r="D447" s="3">
        <v>74</v>
      </c>
      <c r="E447" s="3">
        <v>297101.90000000002</v>
      </c>
      <c r="F447" s="3">
        <v>21985540.600000001</v>
      </c>
      <c r="G447" s="4">
        <v>45539</v>
      </c>
      <c r="H447" s="3" t="s">
        <v>51</v>
      </c>
      <c r="I447" s="6" t="s">
        <v>892</v>
      </c>
    </row>
    <row r="448" spans="1:9" x14ac:dyDescent="0.3">
      <c r="A448" s="5" t="s">
        <v>893</v>
      </c>
      <c r="B448" s="3" t="s">
        <v>97</v>
      </c>
      <c r="C448" s="3" t="s">
        <v>19</v>
      </c>
      <c r="D448" s="3">
        <v>46.8</v>
      </c>
      <c r="E448" s="3">
        <v>287192.45</v>
      </c>
      <c r="F448" s="3">
        <f>Table1[[#This Row],[Unit Price]]*Table1[[#This Row],[Units Sold]]</f>
        <v>13440606.66</v>
      </c>
      <c r="G448" s="4">
        <v>45412</v>
      </c>
      <c r="H448" s="3" t="s">
        <v>51</v>
      </c>
      <c r="I448" s="6" t="s">
        <v>894</v>
      </c>
    </row>
    <row r="449" spans="1:9" x14ac:dyDescent="0.3">
      <c r="A449" s="5" t="s">
        <v>895</v>
      </c>
      <c r="B449" s="3" t="s">
        <v>46</v>
      </c>
      <c r="C449" s="3" t="s">
        <v>25</v>
      </c>
      <c r="D449" s="3">
        <v>83</v>
      </c>
      <c r="E449" s="3">
        <v>157421.35</v>
      </c>
      <c r="F449" s="3">
        <v>13065972.050000001</v>
      </c>
      <c r="G449" s="4">
        <v>45813</v>
      </c>
      <c r="H449" s="3" t="s">
        <v>15</v>
      </c>
      <c r="I449" s="6" t="s">
        <v>896</v>
      </c>
    </row>
    <row r="450" spans="1:9" x14ac:dyDescent="0.3">
      <c r="A450" s="5" t="s">
        <v>897</v>
      </c>
      <c r="B450" s="3" t="s">
        <v>66</v>
      </c>
      <c r="C450" s="3" t="s">
        <v>1089</v>
      </c>
      <c r="D450" s="3">
        <v>46.8</v>
      </c>
      <c r="E450" s="3">
        <v>251801.01</v>
      </c>
      <c r="F450" s="3">
        <f>Table1[[#This Row],[Unit Price]]*Table1[[#This Row],[Units Sold]]</f>
        <v>11784287.267999999</v>
      </c>
      <c r="G450" s="4">
        <v>45424</v>
      </c>
      <c r="H450" s="3" t="s">
        <v>51</v>
      </c>
      <c r="I450" s="6" t="s">
        <v>1091</v>
      </c>
    </row>
    <row r="451" spans="1:9" x14ac:dyDescent="0.3">
      <c r="A451" s="5" t="s">
        <v>898</v>
      </c>
      <c r="B451" s="3" t="s">
        <v>62</v>
      </c>
      <c r="C451" s="3" t="s">
        <v>50</v>
      </c>
      <c r="D451" s="3">
        <v>46.8</v>
      </c>
      <c r="E451" s="3">
        <v>22761.96</v>
      </c>
      <c r="F451" s="3">
        <f>Table1[[#This Row],[Unit Price]]*Table1[[#This Row],[Units Sold]]</f>
        <v>1065259.7279999999</v>
      </c>
      <c r="G451" s="4">
        <v>45753</v>
      </c>
      <c r="H451" s="3" t="s">
        <v>15</v>
      </c>
      <c r="I451" s="6" t="s">
        <v>899</v>
      </c>
    </row>
    <row r="452" spans="1:9" x14ac:dyDescent="0.3">
      <c r="A452" s="5" t="s">
        <v>900</v>
      </c>
      <c r="B452" s="3" t="s">
        <v>33</v>
      </c>
      <c r="C452" s="3" t="s">
        <v>19</v>
      </c>
      <c r="D452" s="3">
        <v>45</v>
      </c>
      <c r="E452" s="3">
        <v>155703.70000000001</v>
      </c>
      <c r="F452" s="3">
        <f>Table1[[#This Row],[Unit Price]]*Table1[[#This Row],[Units Sold]]</f>
        <v>7006666.5000000009</v>
      </c>
      <c r="G452" s="4">
        <v>45386</v>
      </c>
      <c r="H452" s="3" t="s">
        <v>11</v>
      </c>
      <c r="I452" s="6" t="s">
        <v>901</v>
      </c>
    </row>
    <row r="453" spans="1:9" x14ac:dyDescent="0.3">
      <c r="A453" s="5" t="s">
        <v>902</v>
      </c>
      <c r="B453" s="3" t="s">
        <v>115</v>
      </c>
      <c r="C453" s="3" t="s">
        <v>59</v>
      </c>
      <c r="D453" s="3">
        <v>46.8</v>
      </c>
      <c r="E453" s="3">
        <v>245489.78</v>
      </c>
      <c r="F453" s="3">
        <f>Table1[[#This Row],[Unit Price]]*Table1[[#This Row],[Units Sold]]</f>
        <v>11488921.704</v>
      </c>
      <c r="G453" s="4">
        <v>45718</v>
      </c>
      <c r="H453" s="3" t="s">
        <v>15</v>
      </c>
      <c r="I453" s="6" t="s">
        <v>903</v>
      </c>
    </row>
    <row r="454" spans="1:9" x14ac:dyDescent="0.3">
      <c r="A454" s="5" t="s">
        <v>904</v>
      </c>
      <c r="B454" s="3" t="s">
        <v>87</v>
      </c>
      <c r="C454" s="3" t="s">
        <v>25</v>
      </c>
      <c r="D454" s="3">
        <v>46.8</v>
      </c>
      <c r="E454" s="3">
        <v>15030.06</v>
      </c>
      <c r="F454" s="3">
        <f>Table1[[#This Row],[Unit Price]]*Table1[[#This Row],[Units Sold]]</f>
        <v>703406.80799999996</v>
      </c>
      <c r="G454" s="4">
        <v>45742</v>
      </c>
      <c r="H454" s="3" t="s">
        <v>15</v>
      </c>
      <c r="I454" s="6" t="s">
        <v>905</v>
      </c>
    </row>
    <row r="455" spans="1:9" x14ac:dyDescent="0.3">
      <c r="A455" s="5" t="s">
        <v>906</v>
      </c>
      <c r="B455" s="3" t="s">
        <v>57</v>
      </c>
      <c r="C455" s="3" t="s">
        <v>76</v>
      </c>
      <c r="D455" s="3">
        <v>24</v>
      </c>
      <c r="E455" s="3">
        <v>2411.96</v>
      </c>
      <c r="F455" s="3">
        <v>57887.040000000001</v>
      </c>
      <c r="G455" s="4">
        <v>45231</v>
      </c>
      <c r="H455" s="3" t="s">
        <v>11</v>
      </c>
      <c r="I455" s="6" t="s">
        <v>907</v>
      </c>
    </row>
    <row r="456" spans="1:9" x14ac:dyDescent="0.3">
      <c r="A456" s="5" t="s">
        <v>908</v>
      </c>
      <c r="B456" s="3" t="s">
        <v>18</v>
      </c>
      <c r="C456" s="3" t="s">
        <v>25</v>
      </c>
      <c r="D456" s="3">
        <v>46.8</v>
      </c>
      <c r="E456" s="3">
        <v>41678.71</v>
      </c>
      <c r="F456" s="3">
        <f>Table1[[#This Row],[Unit Price]]*Table1[[#This Row],[Units Sold]]</f>
        <v>1950563.6279999998</v>
      </c>
      <c r="G456" s="4">
        <v>45343</v>
      </c>
      <c r="H456" s="3" t="s">
        <v>15</v>
      </c>
      <c r="I456" s="6" t="s">
        <v>909</v>
      </c>
    </row>
    <row r="457" spans="1:9" x14ac:dyDescent="0.3">
      <c r="A457" s="5" t="s">
        <v>1085</v>
      </c>
      <c r="B457" s="3" t="s">
        <v>49</v>
      </c>
      <c r="C457" s="3" t="s">
        <v>19</v>
      </c>
      <c r="D457" s="3">
        <v>8</v>
      </c>
      <c r="E457" s="3">
        <v>189395.14</v>
      </c>
      <c r="F457" s="3">
        <v>1515161.12</v>
      </c>
      <c r="G457" s="4">
        <v>45150</v>
      </c>
      <c r="H457" s="3" t="s">
        <v>51</v>
      </c>
      <c r="I457" s="6" t="s">
        <v>910</v>
      </c>
    </row>
    <row r="458" spans="1:9" x14ac:dyDescent="0.3">
      <c r="A458" s="5" t="s">
        <v>911</v>
      </c>
      <c r="B458" s="3" t="s">
        <v>46</v>
      </c>
      <c r="C458" s="3" t="s">
        <v>25</v>
      </c>
      <c r="D458" s="3">
        <v>67</v>
      </c>
      <c r="E458" s="3">
        <v>20856.400000000001</v>
      </c>
      <c r="F458" s="3">
        <v>1397378.8</v>
      </c>
      <c r="G458" s="4">
        <v>45341</v>
      </c>
      <c r="H458" s="3" t="s">
        <v>11</v>
      </c>
      <c r="I458" s="6" t="s">
        <v>912</v>
      </c>
    </row>
    <row r="459" spans="1:9" x14ac:dyDescent="0.3">
      <c r="A459" s="5" t="s">
        <v>913</v>
      </c>
      <c r="B459" s="3" t="s">
        <v>13</v>
      </c>
      <c r="C459" s="3" t="s">
        <v>29</v>
      </c>
      <c r="D459" s="3">
        <v>39</v>
      </c>
      <c r="E459" s="3">
        <v>45733.38</v>
      </c>
      <c r="F459" s="3">
        <v>1783601.82</v>
      </c>
      <c r="G459" s="4">
        <v>45672</v>
      </c>
      <c r="H459" s="3" t="s">
        <v>30</v>
      </c>
      <c r="I459" s="6" t="s">
        <v>914</v>
      </c>
    </row>
    <row r="460" spans="1:9" x14ac:dyDescent="0.3">
      <c r="A460" s="5" t="s">
        <v>915</v>
      </c>
      <c r="B460" s="3" t="s">
        <v>62</v>
      </c>
      <c r="C460" s="3" t="s">
        <v>76</v>
      </c>
      <c r="D460" s="3">
        <v>46.8</v>
      </c>
      <c r="E460" s="3">
        <v>66006.539999999994</v>
      </c>
      <c r="F460" s="3">
        <f>Table1[[#This Row],[Unit Price]]*Table1[[#This Row],[Units Sold]]</f>
        <v>3089106.0719999997</v>
      </c>
      <c r="G460" s="4">
        <v>45179</v>
      </c>
      <c r="H460" s="3" t="s">
        <v>15</v>
      </c>
      <c r="I460" s="6" t="s">
        <v>916</v>
      </c>
    </row>
    <row r="461" spans="1:9" x14ac:dyDescent="0.3">
      <c r="A461" s="5" t="s">
        <v>917</v>
      </c>
      <c r="B461" s="3" t="s">
        <v>36</v>
      </c>
      <c r="C461" s="3" t="s">
        <v>19</v>
      </c>
      <c r="D461" s="3">
        <v>91</v>
      </c>
      <c r="E461" s="3">
        <v>137074.89000000001</v>
      </c>
      <c r="F461" s="3">
        <v>12473814.99</v>
      </c>
      <c r="G461" s="4">
        <v>45387</v>
      </c>
      <c r="H461" s="3" t="s">
        <v>51</v>
      </c>
      <c r="I461" s="6" t="s">
        <v>918</v>
      </c>
    </row>
    <row r="462" spans="1:9" x14ac:dyDescent="0.3">
      <c r="A462" s="5" t="s">
        <v>919</v>
      </c>
      <c r="B462" s="3" t="s">
        <v>57</v>
      </c>
      <c r="C462" s="3" t="s">
        <v>50</v>
      </c>
      <c r="D462" s="3">
        <v>46.8</v>
      </c>
      <c r="E462" s="3">
        <v>155703.70000000001</v>
      </c>
      <c r="F462" s="3">
        <f>Table1[[#This Row],[Unit Price]]*Table1[[#This Row],[Units Sold]]</f>
        <v>7286933.1600000001</v>
      </c>
      <c r="G462" s="4">
        <v>45835</v>
      </c>
      <c r="H462" s="3" t="s">
        <v>30</v>
      </c>
      <c r="I462" s="6" t="s">
        <v>920</v>
      </c>
    </row>
    <row r="463" spans="1:9" x14ac:dyDescent="0.3">
      <c r="A463" s="5" t="s">
        <v>921</v>
      </c>
      <c r="B463" s="3" t="s">
        <v>119</v>
      </c>
      <c r="C463" s="3" t="s">
        <v>29</v>
      </c>
      <c r="D463" s="3">
        <v>37</v>
      </c>
      <c r="E463" s="3">
        <v>18604.810000000001</v>
      </c>
      <c r="F463" s="3">
        <v>688377.97</v>
      </c>
      <c r="G463" s="4">
        <v>45461</v>
      </c>
      <c r="H463" s="3" t="s">
        <v>11</v>
      </c>
      <c r="I463" s="6" t="s">
        <v>922</v>
      </c>
    </row>
    <row r="464" spans="1:9" x14ac:dyDescent="0.3">
      <c r="A464" s="5" t="s">
        <v>923</v>
      </c>
      <c r="B464" s="3" t="s">
        <v>46</v>
      </c>
      <c r="C464" s="3" t="s">
        <v>76</v>
      </c>
      <c r="D464" s="3">
        <v>33</v>
      </c>
      <c r="E464" s="3">
        <v>191499.71</v>
      </c>
      <c r="F464" s="3">
        <v>6319490.4299999997</v>
      </c>
      <c r="G464" s="4">
        <v>45627</v>
      </c>
      <c r="H464" s="3" t="s">
        <v>11</v>
      </c>
      <c r="I464" s="6" t="s">
        <v>1091</v>
      </c>
    </row>
    <row r="465" spans="1:9" x14ac:dyDescent="0.3">
      <c r="A465" s="5" t="s">
        <v>924</v>
      </c>
      <c r="B465" s="3" t="s">
        <v>39</v>
      </c>
      <c r="C465" s="3" t="s">
        <v>59</v>
      </c>
      <c r="D465" s="3">
        <v>46.8</v>
      </c>
      <c r="E465" s="3">
        <v>280204.15999999997</v>
      </c>
      <c r="F465" s="3">
        <f>Table1[[#This Row],[Unit Price]]*Table1[[#This Row],[Units Sold]]</f>
        <v>13113554.687999997</v>
      </c>
      <c r="G465" s="4">
        <v>45317</v>
      </c>
      <c r="H465" s="3" t="s">
        <v>11</v>
      </c>
      <c r="I465" s="6" t="s">
        <v>925</v>
      </c>
    </row>
    <row r="466" spans="1:9" x14ac:dyDescent="0.3">
      <c r="A466" s="5" t="s">
        <v>926</v>
      </c>
      <c r="B466" s="3" t="s">
        <v>97</v>
      </c>
      <c r="C466" s="3" t="s">
        <v>25</v>
      </c>
      <c r="D466" s="3">
        <v>36</v>
      </c>
      <c r="E466" s="3">
        <v>273869.06</v>
      </c>
      <c r="F466" s="3">
        <v>9859286.1600000001</v>
      </c>
      <c r="G466" s="4">
        <v>45698</v>
      </c>
      <c r="H466" s="3" t="s">
        <v>51</v>
      </c>
      <c r="I466" s="6" t="s">
        <v>927</v>
      </c>
    </row>
    <row r="467" spans="1:9" x14ac:dyDescent="0.3">
      <c r="A467" s="5" t="s">
        <v>928</v>
      </c>
      <c r="B467" s="3" t="s">
        <v>66</v>
      </c>
      <c r="C467" s="3" t="s">
        <v>25</v>
      </c>
      <c r="D467" s="3">
        <v>46.8</v>
      </c>
      <c r="E467" s="3">
        <v>197955.66</v>
      </c>
      <c r="F467" s="3">
        <f>Table1[[#This Row],[Unit Price]]*Table1[[#This Row],[Units Sold]]</f>
        <v>9264324.8880000003</v>
      </c>
      <c r="G467" s="4">
        <v>45490</v>
      </c>
      <c r="H467" s="3" t="s">
        <v>30</v>
      </c>
      <c r="I467" s="6" t="s">
        <v>929</v>
      </c>
    </row>
    <row r="468" spans="1:9" x14ac:dyDescent="0.3">
      <c r="A468" s="5" t="s">
        <v>930</v>
      </c>
      <c r="B468" s="3" t="s">
        <v>97</v>
      </c>
      <c r="C468" s="3" t="s">
        <v>98</v>
      </c>
      <c r="D468" s="3">
        <v>46.8</v>
      </c>
      <c r="E468" s="3">
        <v>5211.66</v>
      </c>
      <c r="F468" s="3">
        <f>Table1[[#This Row],[Unit Price]]*Table1[[#This Row],[Units Sold]]</f>
        <v>243905.68799999997</v>
      </c>
      <c r="G468" s="4">
        <v>45284</v>
      </c>
      <c r="H468" s="3" t="s">
        <v>11</v>
      </c>
      <c r="I468" s="6" t="s">
        <v>931</v>
      </c>
    </row>
    <row r="469" spans="1:9" x14ac:dyDescent="0.3">
      <c r="A469" s="5" t="s">
        <v>932</v>
      </c>
      <c r="B469" s="3" t="s">
        <v>33</v>
      </c>
      <c r="C469" s="3" t="s">
        <v>76</v>
      </c>
      <c r="D469" s="3">
        <v>46.8</v>
      </c>
      <c r="E469" s="3">
        <v>159897.64000000001</v>
      </c>
      <c r="F469" s="3">
        <f>Table1[[#This Row],[Unit Price]]*Table1[[#This Row],[Units Sold]]</f>
        <v>7483209.5520000001</v>
      </c>
      <c r="G469" s="4">
        <v>45274</v>
      </c>
      <c r="H469" s="3" t="s">
        <v>51</v>
      </c>
      <c r="I469" s="6" t="s">
        <v>933</v>
      </c>
    </row>
    <row r="470" spans="1:9" x14ac:dyDescent="0.3">
      <c r="A470" s="5" t="s">
        <v>1085</v>
      </c>
      <c r="B470" s="3" t="s">
        <v>143</v>
      </c>
      <c r="C470" s="3" t="s">
        <v>25</v>
      </c>
      <c r="D470" s="3">
        <v>83</v>
      </c>
      <c r="E470" s="3">
        <v>123695.88</v>
      </c>
      <c r="F470" s="3">
        <v>10266758.039999999</v>
      </c>
      <c r="G470" s="4">
        <v>45761</v>
      </c>
      <c r="H470" s="3" t="s">
        <v>1090</v>
      </c>
      <c r="I470" s="6" t="s">
        <v>934</v>
      </c>
    </row>
    <row r="471" spans="1:9" x14ac:dyDescent="0.3">
      <c r="A471" s="5" t="s">
        <v>935</v>
      </c>
      <c r="B471" s="3" t="s">
        <v>62</v>
      </c>
      <c r="C471" s="3" t="s">
        <v>98</v>
      </c>
      <c r="D471" s="3">
        <v>46.8</v>
      </c>
      <c r="E471" s="3">
        <v>5509.48</v>
      </c>
      <c r="F471" s="3">
        <f>Table1[[#This Row],[Unit Price]]*Table1[[#This Row],[Units Sold]]</f>
        <v>257843.66399999996</v>
      </c>
      <c r="G471" s="4">
        <v>45536</v>
      </c>
      <c r="H471" s="3" t="s">
        <v>51</v>
      </c>
      <c r="I471" s="6" t="s">
        <v>936</v>
      </c>
    </row>
    <row r="472" spans="1:9" x14ac:dyDescent="0.3">
      <c r="A472" s="5" t="s">
        <v>937</v>
      </c>
      <c r="B472" s="3" t="s">
        <v>143</v>
      </c>
      <c r="C472" s="3" t="s">
        <v>98</v>
      </c>
      <c r="D472" s="3">
        <v>20</v>
      </c>
      <c r="E472" s="3">
        <v>155703.70000000001</v>
      </c>
      <c r="F472" s="3">
        <f>Table1[[#This Row],[Unit Price]]*Table1[[#This Row],[Units Sold]]</f>
        <v>3114074</v>
      </c>
      <c r="G472" s="4">
        <v>45328</v>
      </c>
      <c r="H472" s="3" t="s">
        <v>1090</v>
      </c>
      <c r="I472" s="6" t="s">
        <v>938</v>
      </c>
    </row>
    <row r="473" spans="1:9" x14ac:dyDescent="0.3">
      <c r="A473" s="5" t="s">
        <v>939</v>
      </c>
      <c r="B473" s="3" t="s">
        <v>46</v>
      </c>
      <c r="C473" s="3" t="s">
        <v>19</v>
      </c>
      <c r="D473" s="3">
        <v>46.8</v>
      </c>
      <c r="E473" s="3">
        <v>216796.72</v>
      </c>
      <c r="F473" s="3">
        <f>Table1[[#This Row],[Unit Price]]*Table1[[#This Row],[Units Sold]]</f>
        <v>10146086.495999999</v>
      </c>
      <c r="G473" s="4">
        <v>45842</v>
      </c>
      <c r="H473" s="3" t="s">
        <v>30</v>
      </c>
      <c r="I473" s="6" t="s">
        <v>940</v>
      </c>
    </row>
    <row r="474" spans="1:9" x14ac:dyDescent="0.3">
      <c r="A474" s="5" t="s">
        <v>941</v>
      </c>
      <c r="B474" s="3" t="s">
        <v>97</v>
      </c>
      <c r="C474" s="3" t="s">
        <v>25</v>
      </c>
      <c r="D474" s="3">
        <v>46.8</v>
      </c>
      <c r="E474" s="3">
        <v>160953.56</v>
      </c>
      <c r="F474" s="3">
        <f>Table1[[#This Row],[Unit Price]]*Table1[[#This Row],[Units Sold]]</f>
        <v>7532626.6079999991</v>
      </c>
      <c r="G474" s="4">
        <v>45554</v>
      </c>
      <c r="H474" s="3" t="s">
        <v>11</v>
      </c>
      <c r="I474" s="6" t="s">
        <v>942</v>
      </c>
    </row>
    <row r="475" spans="1:9" x14ac:dyDescent="0.3">
      <c r="A475" s="5" t="s">
        <v>943</v>
      </c>
      <c r="B475" s="3" t="s">
        <v>115</v>
      </c>
      <c r="C475" s="3" t="s">
        <v>29</v>
      </c>
      <c r="D475" s="3">
        <v>46.8</v>
      </c>
      <c r="E475" s="3">
        <v>86363.22</v>
      </c>
      <c r="F475" s="3">
        <f>Table1[[#This Row],[Unit Price]]*Table1[[#This Row],[Units Sold]]</f>
        <v>4041798.696</v>
      </c>
      <c r="G475" s="4">
        <v>45658</v>
      </c>
      <c r="H475" s="3" t="s">
        <v>11</v>
      </c>
      <c r="I475" s="6" t="s">
        <v>944</v>
      </c>
    </row>
    <row r="476" spans="1:9" x14ac:dyDescent="0.3">
      <c r="A476" s="5" t="s">
        <v>945</v>
      </c>
      <c r="B476" s="3" t="s">
        <v>143</v>
      </c>
      <c r="C476" s="3" t="s">
        <v>59</v>
      </c>
      <c r="D476" s="3">
        <v>6</v>
      </c>
      <c r="E476" s="3">
        <v>150913.70000000001</v>
      </c>
      <c r="F476" s="3">
        <v>905482.2</v>
      </c>
      <c r="G476" s="4">
        <v>45328</v>
      </c>
      <c r="H476" s="3" t="s">
        <v>15</v>
      </c>
      <c r="I476" s="6" t="s">
        <v>946</v>
      </c>
    </row>
    <row r="477" spans="1:9" x14ac:dyDescent="0.3">
      <c r="A477" s="5" t="s">
        <v>947</v>
      </c>
      <c r="B477" s="3" t="s">
        <v>36</v>
      </c>
      <c r="C477" s="3" t="s">
        <v>29</v>
      </c>
      <c r="D477" s="3">
        <v>11</v>
      </c>
      <c r="E477" s="3">
        <v>209508.79</v>
      </c>
      <c r="F477" s="3">
        <v>2304596.69</v>
      </c>
      <c r="G477" s="4">
        <v>45224</v>
      </c>
      <c r="H477" s="3" t="s">
        <v>11</v>
      </c>
      <c r="I477" s="6" t="s">
        <v>948</v>
      </c>
    </row>
    <row r="478" spans="1:9" x14ac:dyDescent="0.3">
      <c r="A478" s="5" t="s">
        <v>949</v>
      </c>
      <c r="B478" s="3" t="s">
        <v>1086</v>
      </c>
      <c r="C478" s="3" t="s">
        <v>29</v>
      </c>
      <c r="D478" s="3">
        <v>46.8</v>
      </c>
      <c r="E478" s="3">
        <v>129456.68</v>
      </c>
      <c r="F478" s="3">
        <f>Table1[[#This Row],[Unit Price]]*Table1[[#This Row],[Units Sold]]</f>
        <v>6058572.6239999989</v>
      </c>
      <c r="G478" s="4">
        <v>45202</v>
      </c>
      <c r="H478" s="3" t="s">
        <v>30</v>
      </c>
      <c r="I478" s="6" t="s">
        <v>1091</v>
      </c>
    </row>
    <row r="479" spans="1:9" x14ac:dyDescent="0.3">
      <c r="A479" s="5" t="s">
        <v>950</v>
      </c>
      <c r="B479" s="3" t="s">
        <v>57</v>
      </c>
      <c r="C479" s="3" t="s">
        <v>25</v>
      </c>
      <c r="D479" s="3">
        <v>46.8</v>
      </c>
      <c r="E479" s="3">
        <v>281943.71999999997</v>
      </c>
      <c r="F479" s="3">
        <f>Table1[[#This Row],[Unit Price]]*Table1[[#This Row],[Units Sold]]</f>
        <v>13194966.095999997</v>
      </c>
      <c r="G479" s="4">
        <v>45596</v>
      </c>
      <c r="H479" s="3" t="s">
        <v>51</v>
      </c>
      <c r="I479" s="6" t="s">
        <v>951</v>
      </c>
    </row>
    <row r="480" spans="1:9" x14ac:dyDescent="0.3">
      <c r="A480" s="5" t="s">
        <v>952</v>
      </c>
      <c r="B480" s="3" t="s">
        <v>46</v>
      </c>
      <c r="C480" s="3" t="s">
        <v>1089</v>
      </c>
      <c r="D480" s="3">
        <v>46.8</v>
      </c>
      <c r="E480" s="3">
        <v>54190.42</v>
      </c>
      <c r="F480" s="3">
        <f>Table1[[#This Row],[Unit Price]]*Table1[[#This Row],[Units Sold]]</f>
        <v>2536111.656</v>
      </c>
      <c r="G480" s="4">
        <v>45693</v>
      </c>
      <c r="H480" s="3" t="s">
        <v>30</v>
      </c>
      <c r="I480" s="7" t="s">
        <v>953</v>
      </c>
    </row>
    <row r="481" spans="1:9" x14ac:dyDescent="0.3">
      <c r="A481" s="5" t="s">
        <v>954</v>
      </c>
      <c r="B481" s="3" t="s">
        <v>115</v>
      </c>
      <c r="C481" s="3" t="s">
        <v>50</v>
      </c>
      <c r="D481" s="3">
        <v>46.8</v>
      </c>
      <c r="E481" s="3">
        <v>275455.63</v>
      </c>
      <c r="F481" s="3">
        <f>Table1[[#This Row],[Unit Price]]*Table1[[#This Row],[Units Sold]]</f>
        <v>12891323.483999999</v>
      </c>
      <c r="G481" s="4">
        <v>45573</v>
      </c>
      <c r="H481" s="3" t="s">
        <v>11</v>
      </c>
      <c r="I481" s="6" t="s">
        <v>955</v>
      </c>
    </row>
    <row r="482" spans="1:9" x14ac:dyDescent="0.3">
      <c r="A482" s="5" t="s">
        <v>956</v>
      </c>
      <c r="B482" s="3" t="s">
        <v>93</v>
      </c>
      <c r="C482" s="3" t="s">
        <v>98</v>
      </c>
      <c r="D482" s="3">
        <v>82</v>
      </c>
      <c r="E482" s="3">
        <v>155703.70000000001</v>
      </c>
      <c r="F482" s="3">
        <f>Table1[[#This Row],[Unit Price]]*Table1[[#This Row],[Units Sold]]</f>
        <v>12767703.4</v>
      </c>
      <c r="G482" s="4">
        <v>45303</v>
      </c>
      <c r="H482" s="3" t="s">
        <v>51</v>
      </c>
      <c r="I482" s="6" t="s">
        <v>957</v>
      </c>
    </row>
    <row r="483" spans="1:9" x14ac:dyDescent="0.3">
      <c r="A483" s="5" t="s">
        <v>1085</v>
      </c>
      <c r="B483" s="3" t="s">
        <v>66</v>
      </c>
      <c r="C483" s="3" t="s">
        <v>25</v>
      </c>
      <c r="D483" s="3">
        <v>46.8</v>
      </c>
      <c r="E483" s="3">
        <v>157553.43</v>
      </c>
      <c r="F483" s="3">
        <f>Table1[[#This Row],[Unit Price]]*Table1[[#This Row],[Units Sold]]</f>
        <v>7373500.5239999993</v>
      </c>
      <c r="G483" s="4">
        <v>45306</v>
      </c>
      <c r="H483" s="3" t="s">
        <v>30</v>
      </c>
      <c r="I483" s="6" t="s">
        <v>958</v>
      </c>
    </row>
    <row r="484" spans="1:9" x14ac:dyDescent="0.3">
      <c r="A484" s="5" t="s">
        <v>959</v>
      </c>
      <c r="B484" s="3" t="s">
        <v>87</v>
      </c>
      <c r="C484" s="3" t="s">
        <v>19</v>
      </c>
      <c r="D484" s="3">
        <v>46.8</v>
      </c>
      <c r="E484" s="3">
        <v>72670.17</v>
      </c>
      <c r="F484" s="3">
        <f>Table1[[#This Row],[Unit Price]]*Table1[[#This Row],[Units Sold]]</f>
        <v>3400963.9559999998</v>
      </c>
      <c r="G484" s="4">
        <v>45157</v>
      </c>
      <c r="H484" s="3" t="s">
        <v>11</v>
      </c>
      <c r="I484" s="6" t="s">
        <v>960</v>
      </c>
    </row>
    <row r="485" spans="1:9" x14ac:dyDescent="0.3">
      <c r="A485" s="5" t="s">
        <v>961</v>
      </c>
      <c r="B485" s="3" t="s">
        <v>143</v>
      </c>
      <c r="C485" s="3" t="s">
        <v>98</v>
      </c>
      <c r="D485" s="3">
        <v>46.8</v>
      </c>
      <c r="E485" s="3">
        <v>186124.36</v>
      </c>
      <c r="F485" s="3">
        <f>Table1[[#This Row],[Unit Price]]*Table1[[#This Row],[Units Sold]]</f>
        <v>8710620.0479999986</v>
      </c>
      <c r="G485" s="4">
        <v>45638</v>
      </c>
      <c r="H485" s="3" t="s">
        <v>11</v>
      </c>
      <c r="I485" s="6" t="s">
        <v>962</v>
      </c>
    </row>
    <row r="486" spans="1:9" x14ac:dyDescent="0.3">
      <c r="A486" s="5" t="s">
        <v>963</v>
      </c>
      <c r="B486" s="3" t="s">
        <v>115</v>
      </c>
      <c r="C486" s="3" t="s">
        <v>59</v>
      </c>
      <c r="D486" s="3">
        <v>62</v>
      </c>
      <c r="E486" s="3">
        <v>76099.25</v>
      </c>
      <c r="F486" s="3">
        <v>4718153.5</v>
      </c>
      <c r="G486" s="4">
        <v>45821</v>
      </c>
      <c r="H486" s="3" t="s">
        <v>11</v>
      </c>
      <c r="I486" s="6" t="s">
        <v>964</v>
      </c>
    </row>
    <row r="487" spans="1:9" x14ac:dyDescent="0.3">
      <c r="A487" s="5" t="s">
        <v>965</v>
      </c>
      <c r="B487" s="3" t="s">
        <v>36</v>
      </c>
      <c r="C487" s="3" t="s">
        <v>1089</v>
      </c>
      <c r="D487" s="3">
        <v>46.8</v>
      </c>
      <c r="E487" s="3">
        <v>106655.11</v>
      </c>
      <c r="F487" s="3">
        <f>Table1[[#This Row],[Unit Price]]*Table1[[#This Row],[Units Sold]]</f>
        <v>4991459.148</v>
      </c>
      <c r="G487" s="4">
        <v>45530</v>
      </c>
      <c r="H487" s="3" t="s">
        <v>15</v>
      </c>
      <c r="I487" s="6" t="s">
        <v>966</v>
      </c>
    </row>
    <row r="488" spans="1:9" x14ac:dyDescent="0.3">
      <c r="A488" s="5" t="s">
        <v>967</v>
      </c>
      <c r="B488" s="3" t="s">
        <v>13</v>
      </c>
      <c r="C488" s="3" t="s">
        <v>50</v>
      </c>
      <c r="D488" s="3">
        <v>46.8</v>
      </c>
      <c r="E488" s="3">
        <v>238583.43</v>
      </c>
      <c r="F488" s="3">
        <f>Table1[[#This Row],[Unit Price]]*Table1[[#This Row],[Units Sold]]</f>
        <v>11165704.523999998</v>
      </c>
      <c r="G488" s="4">
        <v>45293</v>
      </c>
      <c r="H488" s="3" t="s">
        <v>15</v>
      </c>
      <c r="I488" s="6" t="s">
        <v>968</v>
      </c>
    </row>
    <row r="489" spans="1:9" x14ac:dyDescent="0.3">
      <c r="A489" s="5" t="s">
        <v>969</v>
      </c>
      <c r="B489" s="3" t="s">
        <v>143</v>
      </c>
      <c r="C489" s="3" t="s">
        <v>25</v>
      </c>
      <c r="D489" s="3">
        <v>46.8</v>
      </c>
      <c r="E489" s="3">
        <v>24166.26</v>
      </c>
      <c r="F489" s="3">
        <f>Table1[[#This Row],[Unit Price]]*Table1[[#This Row],[Units Sold]]</f>
        <v>1130980.9679999999</v>
      </c>
      <c r="G489" s="4">
        <v>45613</v>
      </c>
      <c r="H489" s="3" t="s">
        <v>15</v>
      </c>
      <c r="I489" s="7" t="s">
        <v>970</v>
      </c>
    </row>
    <row r="490" spans="1:9" x14ac:dyDescent="0.3">
      <c r="A490" s="5" t="s">
        <v>971</v>
      </c>
      <c r="B490" s="3" t="s">
        <v>143</v>
      </c>
      <c r="C490" s="3" t="s">
        <v>59</v>
      </c>
      <c r="D490" s="3">
        <v>8</v>
      </c>
      <c r="E490" s="3">
        <v>287809.69</v>
      </c>
      <c r="F490" s="3">
        <v>2302477.52</v>
      </c>
      <c r="G490" s="4">
        <v>45298</v>
      </c>
      <c r="H490" s="3" t="s">
        <v>51</v>
      </c>
      <c r="I490" s="6" t="s">
        <v>972</v>
      </c>
    </row>
    <row r="491" spans="1:9" x14ac:dyDescent="0.3">
      <c r="A491" s="5" t="s">
        <v>973</v>
      </c>
      <c r="B491" s="3" t="s">
        <v>57</v>
      </c>
      <c r="C491" s="3" t="s">
        <v>76</v>
      </c>
      <c r="D491" s="3">
        <v>46.8</v>
      </c>
      <c r="E491" s="3">
        <v>137969.82</v>
      </c>
      <c r="F491" s="3">
        <f>Table1[[#This Row],[Unit Price]]*Table1[[#This Row],[Units Sold]]</f>
        <v>6456987.5760000004</v>
      </c>
      <c r="G491" s="4">
        <v>45158</v>
      </c>
      <c r="H491" s="3" t="s">
        <v>30</v>
      </c>
      <c r="I491" s="6" t="s">
        <v>974</v>
      </c>
    </row>
    <row r="492" spans="1:9" x14ac:dyDescent="0.3">
      <c r="A492" s="5" t="s">
        <v>975</v>
      </c>
      <c r="B492" s="3" t="s">
        <v>46</v>
      </c>
      <c r="C492" s="3" t="s">
        <v>1089</v>
      </c>
      <c r="D492" s="3">
        <v>46.8</v>
      </c>
      <c r="E492" s="3">
        <v>155703.70000000001</v>
      </c>
      <c r="F492" s="3">
        <f>Table1[[#This Row],[Unit Price]]*Table1[[#This Row],[Units Sold]]</f>
        <v>7286933.1600000001</v>
      </c>
      <c r="G492" s="4">
        <v>45195</v>
      </c>
      <c r="H492" s="3" t="s">
        <v>51</v>
      </c>
      <c r="I492" s="6" t="s">
        <v>1091</v>
      </c>
    </row>
    <row r="493" spans="1:9" x14ac:dyDescent="0.3">
      <c r="A493" s="5" t="s">
        <v>976</v>
      </c>
      <c r="B493" s="3" t="s">
        <v>87</v>
      </c>
      <c r="C493" s="3" t="s">
        <v>29</v>
      </c>
      <c r="D493" s="3">
        <v>46.8</v>
      </c>
      <c r="E493" s="3">
        <v>73340.759999999995</v>
      </c>
      <c r="F493" s="3">
        <f>Table1[[#This Row],[Unit Price]]*Table1[[#This Row],[Units Sold]]</f>
        <v>3432347.5679999995</v>
      </c>
      <c r="G493" s="4">
        <v>45439</v>
      </c>
      <c r="H493" s="3" t="s">
        <v>51</v>
      </c>
      <c r="I493" s="6" t="s">
        <v>977</v>
      </c>
    </row>
    <row r="494" spans="1:9" x14ac:dyDescent="0.3">
      <c r="A494" s="5" t="s">
        <v>978</v>
      </c>
      <c r="B494" s="3" t="s">
        <v>66</v>
      </c>
      <c r="C494" s="3" t="s">
        <v>1089</v>
      </c>
      <c r="D494" s="3">
        <v>78</v>
      </c>
      <c r="E494" s="3">
        <v>209322.28</v>
      </c>
      <c r="F494" s="3">
        <v>16327137.84</v>
      </c>
      <c r="G494" s="4">
        <v>45374</v>
      </c>
      <c r="H494" s="3" t="s">
        <v>11</v>
      </c>
      <c r="I494" s="6" t="s">
        <v>979</v>
      </c>
    </row>
    <row r="495" spans="1:9" x14ac:dyDescent="0.3">
      <c r="A495" s="5" t="s">
        <v>980</v>
      </c>
      <c r="B495" s="3" t="s">
        <v>97</v>
      </c>
      <c r="C495" s="3" t="s">
        <v>59</v>
      </c>
      <c r="D495" s="3">
        <v>46.8</v>
      </c>
      <c r="E495" s="3">
        <v>90342.399999999994</v>
      </c>
      <c r="F495" s="3">
        <f>Table1[[#This Row],[Unit Price]]*Table1[[#This Row],[Units Sold]]</f>
        <v>4228024.3199999994</v>
      </c>
      <c r="G495" s="4">
        <v>45675</v>
      </c>
      <c r="H495" s="3" t="s">
        <v>1090</v>
      </c>
      <c r="I495" s="6" t="s">
        <v>981</v>
      </c>
    </row>
    <row r="496" spans="1:9" x14ac:dyDescent="0.3">
      <c r="A496" s="5" t="s">
        <v>1085</v>
      </c>
      <c r="B496" s="3" t="s">
        <v>83</v>
      </c>
      <c r="C496" s="3" t="s">
        <v>25</v>
      </c>
      <c r="D496" s="3">
        <v>46.8</v>
      </c>
      <c r="E496" s="3">
        <v>248504.59</v>
      </c>
      <c r="F496" s="3">
        <f>Table1[[#This Row],[Unit Price]]*Table1[[#This Row],[Units Sold]]</f>
        <v>11630014.811999999</v>
      </c>
      <c r="G496" s="4">
        <v>45484</v>
      </c>
      <c r="H496" s="3" t="s">
        <v>1090</v>
      </c>
      <c r="I496" s="6" t="s">
        <v>982</v>
      </c>
    </row>
    <row r="497" spans="1:9" x14ac:dyDescent="0.3">
      <c r="A497" s="5" t="s">
        <v>983</v>
      </c>
      <c r="B497" s="3" t="s">
        <v>83</v>
      </c>
      <c r="C497" s="3" t="s">
        <v>1089</v>
      </c>
      <c r="D497" s="3">
        <v>46.8</v>
      </c>
      <c r="E497" s="3">
        <v>24644.77</v>
      </c>
      <c r="F497" s="3">
        <f>Table1[[#This Row],[Unit Price]]*Table1[[#This Row],[Units Sold]]</f>
        <v>1153375.236</v>
      </c>
      <c r="G497" s="4">
        <v>45196</v>
      </c>
      <c r="H497" s="3" t="s">
        <v>11</v>
      </c>
      <c r="I497" s="6" t="s">
        <v>984</v>
      </c>
    </row>
    <row r="498" spans="1:9" x14ac:dyDescent="0.3">
      <c r="A498" s="5" t="s">
        <v>985</v>
      </c>
      <c r="B498" s="3" t="s">
        <v>83</v>
      </c>
      <c r="C498" s="3" t="s">
        <v>25</v>
      </c>
      <c r="D498" s="3">
        <v>46.8</v>
      </c>
      <c r="E498" s="3">
        <v>297506.57</v>
      </c>
      <c r="F498" s="3">
        <f>Table1[[#This Row],[Unit Price]]*Table1[[#This Row],[Units Sold]]</f>
        <v>13923307.476</v>
      </c>
      <c r="G498" s="4">
        <v>45647</v>
      </c>
      <c r="H498" s="3" t="s">
        <v>1090</v>
      </c>
      <c r="I498" s="6" t="s">
        <v>986</v>
      </c>
    </row>
    <row r="499" spans="1:9" x14ac:dyDescent="0.3">
      <c r="A499" s="5" t="s">
        <v>987</v>
      </c>
      <c r="B499" s="3" t="s">
        <v>57</v>
      </c>
      <c r="C499" s="3" t="s">
        <v>19</v>
      </c>
      <c r="D499" s="3">
        <v>46.8</v>
      </c>
      <c r="E499" s="3">
        <v>195143.39</v>
      </c>
      <c r="F499" s="3">
        <f>Table1[[#This Row],[Unit Price]]*Table1[[#This Row],[Units Sold]]</f>
        <v>9132710.6520000007</v>
      </c>
      <c r="G499" s="4">
        <v>45716</v>
      </c>
      <c r="H499" s="3" t="s">
        <v>51</v>
      </c>
      <c r="I499" s="6" t="s">
        <v>988</v>
      </c>
    </row>
    <row r="500" spans="1:9" x14ac:dyDescent="0.3">
      <c r="A500" s="5" t="s">
        <v>989</v>
      </c>
      <c r="B500" s="3" t="s">
        <v>62</v>
      </c>
      <c r="C500" s="3" t="s">
        <v>25</v>
      </c>
      <c r="D500" s="3">
        <v>46.8</v>
      </c>
      <c r="E500" s="3">
        <v>9989.51</v>
      </c>
      <c r="F500" s="3">
        <f>Table1[[#This Row],[Unit Price]]*Table1[[#This Row],[Units Sold]]</f>
        <v>467509.06799999997</v>
      </c>
      <c r="G500" s="4">
        <v>45224</v>
      </c>
      <c r="H500" s="3" t="s">
        <v>30</v>
      </c>
      <c r="I500" s="6" t="s">
        <v>990</v>
      </c>
    </row>
    <row r="501" spans="1:9" x14ac:dyDescent="0.3">
      <c r="A501" s="5" t="s">
        <v>991</v>
      </c>
      <c r="B501" s="3" t="s">
        <v>230</v>
      </c>
      <c r="C501" s="3" t="s">
        <v>59</v>
      </c>
      <c r="D501" s="3">
        <v>46.8</v>
      </c>
      <c r="E501" s="3">
        <v>121880.85</v>
      </c>
      <c r="F501" s="3">
        <f>Table1[[#This Row],[Unit Price]]*Table1[[#This Row],[Units Sold]]</f>
        <v>5704023.7800000003</v>
      </c>
      <c r="G501" s="4">
        <v>45122</v>
      </c>
      <c r="H501" s="3" t="s">
        <v>15</v>
      </c>
      <c r="I501" s="6" t="s">
        <v>992</v>
      </c>
    </row>
    <row r="502" spans="1:9" x14ac:dyDescent="0.3">
      <c r="A502" s="5" t="s">
        <v>993</v>
      </c>
      <c r="B502" s="3" t="s">
        <v>93</v>
      </c>
      <c r="C502" s="3" t="s">
        <v>50</v>
      </c>
      <c r="D502" s="3">
        <v>46.8</v>
      </c>
      <c r="E502" s="3">
        <v>155703.70000000001</v>
      </c>
      <c r="F502" s="3">
        <f>Table1[[#This Row],[Unit Price]]*Table1[[#This Row],[Units Sold]]</f>
        <v>7286933.1600000001</v>
      </c>
      <c r="G502" s="4">
        <v>45545</v>
      </c>
      <c r="H502" s="3" t="s">
        <v>51</v>
      </c>
      <c r="I502" s="6" t="s">
        <v>994</v>
      </c>
    </row>
    <row r="503" spans="1:9" x14ac:dyDescent="0.3">
      <c r="A503" s="5" t="s">
        <v>995</v>
      </c>
      <c r="B503" s="3" t="s">
        <v>39</v>
      </c>
      <c r="C503" s="3" t="s">
        <v>19</v>
      </c>
      <c r="D503" s="3">
        <v>58</v>
      </c>
      <c r="E503" s="3">
        <v>113462.29</v>
      </c>
      <c r="F503" s="3">
        <v>6580812.8200000003</v>
      </c>
      <c r="G503" s="4">
        <v>45839</v>
      </c>
      <c r="H503" s="3" t="s">
        <v>51</v>
      </c>
      <c r="I503" s="6" t="s">
        <v>996</v>
      </c>
    </row>
    <row r="504" spans="1:9" x14ac:dyDescent="0.3">
      <c r="A504" s="5" t="s">
        <v>997</v>
      </c>
      <c r="B504" s="3" t="s">
        <v>143</v>
      </c>
      <c r="C504" s="3" t="s">
        <v>50</v>
      </c>
      <c r="D504" s="3">
        <v>19</v>
      </c>
      <c r="E504" s="3">
        <v>143063.53</v>
      </c>
      <c r="F504" s="3">
        <v>2718207.07</v>
      </c>
      <c r="G504" s="4">
        <v>45240</v>
      </c>
      <c r="H504" s="3" t="s">
        <v>30</v>
      </c>
      <c r="I504" s="6" t="s">
        <v>998</v>
      </c>
    </row>
    <row r="505" spans="1:9" x14ac:dyDescent="0.3">
      <c r="A505" s="5" t="s">
        <v>999</v>
      </c>
      <c r="B505" s="3" t="s">
        <v>62</v>
      </c>
      <c r="C505" s="3" t="s">
        <v>1089</v>
      </c>
      <c r="D505" s="3">
        <v>46.8</v>
      </c>
      <c r="E505" s="3">
        <v>191206.05</v>
      </c>
      <c r="F505" s="3">
        <f>Table1[[#This Row],[Unit Price]]*Table1[[#This Row],[Units Sold]]</f>
        <v>8948443.1399999987</v>
      </c>
      <c r="G505" s="4">
        <v>45434</v>
      </c>
      <c r="H505" s="3" t="s">
        <v>1090</v>
      </c>
      <c r="I505" s="6" t="s">
        <v>1000</v>
      </c>
    </row>
    <row r="506" spans="1:9" x14ac:dyDescent="0.3">
      <c r="A506" s="5" t="s">
        <v>1001</v>
      </c>
      <c r="B506" s="3" t="s">
        <v>66</v>
      </c>
      <c r="C506" s="3" t="s">
        <v>29</v>
      </c>
      <c r="D506" s="3">
        <v>46.8</v>
      </c>
      <c r="E506" s="3">
        <v>211002.12</v>
      </c>
      <c r="F506" s="3">
        <f>Table1[[#This Row],[Unit Price]]*Table1[[#This Row],[Units Sold]]</f>
        <v>9874899.216</v>
      </c>
      <c r="G506" s="4">
        <v>45625</v>
      </c>
      <c r="H506" s="3" t="s">
        <v>30</v>
      </c>
      <c r="I506" s="6" t="s">
        <v>1091</v>
      </c>
    </row>
    <row r="507" spans="1:9" x14ac:dyDescent="0.3">
      <c r="A507" s="5" t="s">
        <v>1002</v>
      </c>
      <c r="B507" s="3" t="s">
        <v>97</v>
      </c>
      <c r="C507" s="3" t="s">
        <v>76</v>
      </c>
      <c r="D507" s="3">
        <v>54</v>
      </c>
      <c r="E507" s="3">
        <v>25264.49</v>
      </c>
      <c r="F507" s="3">
        <v>1364282.46</v>
      </c>
      <c r="G507" s="4">
        <v>45844</v>
      </c>
      <c r="H507" s="3" t="s">
        <v>51</v>
      </c>
      <c r="I507" s="6" t="s">
        <v>1003</v>
      </c>
    </row>
    <row r="508" spans="1:9" x14ac:dyDescent="0.3">
      <c r="A508" s="5" t="s">
        <v>1004</v>
      </c>
      <c r="B508" s="3" t="s">
        <v>39</v>
      </c>
      <c r="C508" s="3" t="s">
        <v>59</v>
      </c>
      <c r="D508" s="3">
        <v>46.8</v>
      </c>
      <c r="E508" s="3">
        <v>253676.27</v>
      </c>
      <c r="F508" s="3">
        <f>Table1[[#This Row],[Unit Price]]*Table1[[#This Row],[Units Sold]]</f>
        <v>11872049.435999999</v>
      </c>
      <c r="G508" s="4">
        <v>45802</v>
      </c>
      <c r="H508" s="3" t="s">
        <v>11</v>
      </c>
      <c r="I508" s="6" t="s">
        <v>1005</v>
      </c>
    </row>
    <row r="509" spans="1:9" x14ac:dyDescent="0.3">
      <c r="A509" s="5" t="s">
        <v>1085</v>
      </c>
      <c r="B509" s="3" t="s">
        <v>22</v>
      </c>
      <c r="C509" s="3" t="s">
        <v>50</v>
      </c>
      <c r="D509" s="3">
        <v>46.8</v>
      </c>
      <c r="E509" s="3">
        <v>193649.72</v>
      </c>
      <c r="F509" s="3">
        <f>Table1[[#This Row],[Unit Price]]*Table1[[#This Row],[Units Sold]]</f>
        <v>9062806.8959999997</v>
      </c>
      <c r="G509" s="4">
        <v>45800</v>
      </c>
      <c r="H509" s="3" t="s">
        <v>11</v>
      </c>
      <c r="I509" s="6" t="s">
        <v>1006</v>
      </c>
    </row>
    <row r="510" spans="1:9" x14ac:dyDescent="0.3">
      <c r="A510" s="5" t="s">
        <v>1007</v>
      </c>
      <c r="B510" s="3" t="s">
        <v>143</v>
      </c>
      <c r="C510" s="3" t="s">
        <v>76</v>
      </c>
      <c r="D510" s="3">
        <v>41</v>
      </c>
      <c r="E510" s="3">
        <v>99715.55</v>
      </c>
      <c r="F510" s="3">
        <v>4088337.55</v>
      </c>
      <c r="G510" s="4">
        <v>45487</v>
      </c>
      <c r="H510" s="3" t="s">
        <v>51</v>
      </c>
      <c r="I510" s="6" t="s">
        <v>1008</v>
      </c>
    </row>
    <row r="511" spans="1:9" x14ac:dyDescent="0.3">
      <c r="A511" s="5" t="s">
        <v>1009</v>
      </c>
      <c r="B511" s="3" t="s">
        <v>22</v>
      </c>
      <c r="C511" s="3" t="s">
        <v>98</v>
      </c>
      <c r="D511" s="3">
        <v>98</v>
      </c>
      <c r="E511" s="3">
        <v>293210.09999999998</v>
      </c>
      <c r="F511" s="3">
        <v>28734589.800000001</v>
      </c>
      <c r="G511" s="4">
        <v>45488</v>
      </c>
      <c r="H511" s="3" t="s">
        <v>11</v>
      </c>
      <c r="I511" s="6" t="s">
        <v>1010</v>
      </c>
    </row>
    <row r="512" spans="1:9" x14ac:dyDescent="0.3">
      <c r="A512" s="5" t="s">
        <v>1011</v>
      </c>
      <c r="B512" s="3" t="s">
        <v>57</v>
      </c>
      <c r="C512" s="3" t="s">
        <v>25</v>
      </c>
      <c r="D512" s="3">
        <v>46.8</v>
      </c>
      <c r="E512" s="3">
        <v>155703.70000000001</v>
      </c>
      <c r="F512" s="3">
        <f>Table1[[#This Row],[Unit Price]]*Table1[[#This Row],[Units Sold]]</f>
        <v>7286933.1600000001</v>
      </c>
      <c r="G512" s="4">
        <v>45623</v>
      </c>
      <c r="H512" s="3" t="s">
        <v>1090</v>
      </c>
      <c r="I512" s="6" t="s">
        <v>1012</v>
      </c>
    </row>
    <row r="513" spans="1:9" x14ac:dyDescent="0.3">
      <c r="A513" s="5" t="s">
        <v>1013</v>
      </c>
      <c r="B513" s="3" t="s">
        <v>1086</v>
      </c>
      <c r="C513" s="3" t="s">
        <v>50</v>
      </c>
      <c r="D513" s="3">
        <v>46.8</v>
      </c>
      <c r="E513" s="3">
        <v>292165</v>
      </c>
      <c r="F513" s="3">
        <f>Table1[[#This Row],[Unit Price]]*Table1[[#This Row],[Units Sold]]</f>
        <v>13673322</v>
      </c>
      <c r="G513" s="4">
        <v>45272</v>
      </c>
      <c r="H513" s="3" t="s">
        <v>30</v>
      </c>
      <c r="I513" s="6" t="s">
        <v>1014</v>
      </c>
    </row>
    <row r="514" spans="1:9" x14ac:dyDescent="0.3">
      <c r="A514" s="5" t="s">
        <v>1015</v>
      </c>
      <c r="B514" s="3" t="s">
        <v>13</v>
      </c>
      <c r="C514" s="3" t="s">
        <v>19</v>
      </c>
      <c r="D514" s="3">
        <v>46.8</v>
      </c>
      <c r="E514" s="3">
        <v>268489.96999999997</v>
      </c>
      <c r="F514" s="3">
        <f>Table1[[#This Row],[Unit Price]]*Table1[[#This Row],[Units Sold]]</f>
        <v>12565330.595999997</v>
      </c>
      <c r="G514" s="4">
        <v>45705</v>
      </c>
      <c r="H514" s="3" t="s">
        <v>15</v>
      </c>
      <c r="I514" s="6" t="s">
        <v>1016</v>
      </c>
    </row>
    <row r="515" spans="1:9" x14ac:dyDescent="0.3">
      <c r="A515" s="5" t="s">
        <v>1017</v>
      </c>
      <c r="B515" s="3" t="s">
        <v>49</v>
      </c>
      <c r="C515" s="3" t="s">
        <v>59</v>
      </c>
      <c r="D515" s="3">
        <v>3</v>
      </c>
      <c r="E515" s="3">
        <v>275786.09000000003</v>
      </c>
      <c r="F515" s="3">
        <v>827358.27</v>
      </c>
      <c r="G515" s="4">
        <v>45341</v>
      </c>
      <c r="H515" s="3" t="s">
        <v>30</v>
      </c>
      <c r="I515" s="6" t="s">
        <v>1018</v>
      </c>
    </row>
    <row r="516" spans="1:9" x14ac:dyDescent="0.3">
      <c r="A516" s="5" t="s">
        <v>1019</v>
      </c>
      <c r="B516" s="3" t="s">
        <v>22</v>
      </c>
      <c r="C516" s="3" t="s">
        <v>25</v>
      </c>
      <c r="D516" s="3">
        <v>46.8</v>
      </c>
      <c r="E516" s="3">
        <v>69315.070000000007</v>
      </c>
      <c r="F516" s="3">
        <f>Table1[[#This Row],[Unit Price]]*Table1[[#This Row],[Units Sold]]</f>
        <v>3243945.2760000001</v>
      </c>
      <c r="G516" s="4">
        <v>45367</v>
      </c>
      <c r="H516" s="3" t="s">
        <v>15</v>
      </c>
      <c r="I516" s="6" t="s">
        <v>1020</v>
      </c>
    </row>
    <row r="517" spans="1:9" x14ac:dyDescent="0.3">
      <c r="A517" s="5" t="s">
        <v>1021</v>
      </c>
      <c r="B517" s="3" t="s">
        <v>230</v>
      </c>
      <c r="C517" s="3" t="s">
        <v>76</v>
      </c>
      <c r="D517" s="3">
        <v>59</v>
      </c>
      <c r="E517" s="3">
        <v>270431.25</v>
      </c>
      <c r="F517" s="3">
        <v>15955443.75</v>
      </c>
      <c r="G517" s="4">
        <v>45339</v>
      </c>
      <c r="H517" s="3" t="s">
        <v>51</v>
      </c>
      <c r="I517" s="6" t="s">
        <v>1022</v>
      </c>
    </row>
    <row r="518" spans="1:9" x14ac:dyDescent="0.3">
      <c r="A518" s="5" t="s">
        <v>1023</v>
      </c>
      <c r="B518" s="3" t="s">
        <v>66</v>
      </c>
      <c r="C518" s="3" t="s">
        <v>59</v>
      </c>
      <c r="D518" s="3">
        <v>46.8</v>
      </c>
      <c r="E518" s="3">
        <v>207840.17</v>
      </c>
      <c r="F518" s="3">
        <f>Table1[[#This Row],[Unit Price]]*Table1[[#This Row],[Units Sold]]</f>
        <v>9726919.9560000002</v>
      </c>
      <c r="G518" s="4">
        <v>45619</v>
      </c>
      <c r="H518" s="3" t="s">
        <v>51</v>
      </c>
      <c r="I518" s="6" t="s">
        <v>1024</v>
      </c>
    </row>
    <row r="519" spans="1:9" x14ac:dyDescent="0.3">
      <c r="A519" s="5" t="s">
        <v>1025</v>
      </c>
      <c r="B519" s="3" t="s">
        <v>39</v>
      </c>
      <c r="C519" s="3" t="s">
        <v>50</v>
      </c>
      <c r="D519" s="3">
        <v>46</v>
      </c>
      <c r="E519" s="3">
        <v>170251.85</v>
      </c>
      <c r="F519" s="3">
        <v>7831585.0999999996</v>
      </c>
      <c r="G519" s="4">
        <v>45163</v>
      </c>
      <c r="H519" s="3" t="s">
        <v>15</v>
      </c>
      <c r="I519" s="6" t="s">
        <v>1026</v>
      </c>
    </row>
    <row r="520" spans="1:9" x14ac:dyDescent="0.3">
      <c r="A520" s="5" t="s">
        <v>1027</v>
      </c>
      <c r="B520" s="3" t="s">
        <v>83</v>
      </c>
      <c r="C520" s="3" t="s">
        <v>29</v>
      </c>
      <c r="D520" s="3">
        <v>46.8</v>
      </c>
      <c r="E520" s="3">
        <v>81692.97</v>
      </c>
      <c r="F520" s="3">
        <f>Table1[[#This Row],[Unit Price]]*Table1[[#This Row],[Units Sold]]</f>
        <v>3823230.9959999998</v>
      </c>
      <c r="G520" s="4">
        <v>45823</v>
      </c>
      <c r="H520" s="3" t="s">
        <v>11</v>
      </c>
      <c r="I520" s="6" t="s">
        <v>1091</v>
      </c>
    </row>
    <row r="521" spans="1:9" x14ac:dyDescent="0.3">
      <c r="A521" s="5" t="s">
        <v>1028</v>
      </c>
      <c r="B521" s="3" t="s">
        <v>46</v>
      </c>
      <c r="C521" s="3" t="s">
        <v>19</v>
      </c>
      <c r="D521" s="3">
        <v>46.8</v>
      </c>
      <c r="E521" s="3">
        <v>277285.7</v>
      </c>
      <c r="F521" s="3">
        <f>Table1[[#This Row],[Unit Price]]*Table1[[#This Row],[Units Sold]]</f>
        <v>12976970.76</v>
      </c>
      <c r="G521" s="4">
        <v>45715</v>
      </c>
      <c r="H521" s="3" t="s">
        <v>51</v>
      </c>
      <c r="I521" s="6" t="s">
        <v>1029</v>
      </c>
    </row>
    <row r="522" spans="1:9" x14ac:dyDescent="0.3">
      <c r="A522" s="5" t="s">
        <v>1085</v>
      </c>
      <c r="B522" s="3" t="s">
        <v>87</v>
      </c>
      <c r="C522" s="3" t="s">
        <v>98</v>
      </c>
      <c r="D522" s="3">
        <v>46.8</v>
      </c>
      <c r="E522" s="3">
        <v>155703.70000000001</v>
      </c>
      <c r="F522" s="3">
        <f>Table1[[#This Row],[Unit Price]]*Table1[[#This Row],[Units Sold]]</f>
        <v>7286933.1600000001</v>
      </c>
      <c r="G522" s="4">
        <v>45187</v>
      </c>
      <c r="H522" s="3" t="s">
        <v>1090</v>
      </c>
      <c r="I522" s="6" t="s">
        <v>1030</v>
      </c>
    </row>
    <row r="523" spans="1:9" x14ac:dyDescent="0.3">
      <c r="A523" s="5" t="s">
        <v>1031</v>
      </c>
      <c r="B523" s="3" t="s">
        <v>57</v>
      </c>
      <c r="C523" s="3" t="s">
        <v>59</v>
      </c>
      <c r="D523" s="3">
        <v>46.8</v>
      </c>
      <c r="E523" s="3">
        <v>205486.41</v>
      </c>
      <c r="F523" s="3">
        <f>Table1[[#This Row],[Unit Price]]*Table1[[#This Row],[Units Sold]]</f>
        <v>9616763.9879999999</v>
      </c>
      <c r="G523" s="4">
        <v>45624</v>
      </c>
      <c r="H523" s="3" t="s">
        <v>1090</v>
      </c>
      <c r="I523" s="6" t="s">
        <v>1032</v>
      </c>
    </row>
    <row r="524" spans="1:9" x14ac:dyDescent="0.3">
      <c r="A524" s="5" t="s">
        <v>1033</v>
      </c>
      <c r="B524" s="3" t="s">
        <v>115</v>
      </c>
      <c r="C524" s="3" t="s">
        <v>29</v>
      </c>
      <c r="D524" s="3">
        <v>69</v>
      </c>
      <c r="E524" s="3">
        <v>84471.72</v>
      </c>
      <c r="F524" s="3">
        <v>5828548.6799999997</v>
      </c>
      <c r="G524" s="4">
        <v>45563</v>
      </c>
      <c r="H524" s="3" t="s">
        <v>1090</v>
      </c>
      <c r="I524" s="6" t="s">
        <v>1034</v>
      </c>
    </row>
    <row r="525" spans="1:9" x14ac:dyDescent="0.3">
      <c r="A525" s="5" t="s">
        <v>1035</v>
      </c>
      <c r="B525" s="3" t="s">
        <v>230</v>
      </c>
      <c r="C525" s="3" t="s">
        <v>50</v>
      </c>
      <c r="D525" s="3">
        <v>46.8</v>
      </c>
      <c r="E525" s="3">
        <v>163137.69</v>
      </c>
      <c r="F525" s="3">
        <f>Table1[[#This Row],[Unit Price]]*Table1[[#This Row],[Units Sold]]</f>
        <v>7634843.892</v>
      </c>
      <c r="G525" s="4">
        <v>45298</v>
      </c>
      <c r="H525" s="3" t="s">
        <v>1090</v>
      </c>
      <c r="I525" s="6" t="s">
        <v>1036</v>
      </c>
    </row>
    <row r="526" spans="1:9" x14ac:dyDescent="0.3">
      <c r="A526" s="5" t="s">
        <v>1037</v>
      </c>
      <c r="B526" s="3" t="s">
        <v>115</v>
      </c>
      <c r="C526" s="3" t="s">
        <v>19</v>
      </c>
      <c r="D526" s="3">
        <v>46.8</v>
      </c>
      <c r="E526" s="3">
        <v>197603.72</v>
      </c>
      <c r="F526" s="3">
        <f>Table1[[#This Row],[Unit Price]]*Table1[[#This Row],[Units Sold]]</f>
        <v>9247854.095999999</v>
      </c>
      <c r="G526" s="4">
        <v>45533</v>
      </c>
      <c r="H526" s="3" t="s">
        <v>15</v>
      </c>
      <c r="I526" s="6" t="s">
        <v>1038</v>
      </c>
    </row>
    <row r="527" spans="1:9" x14ac:dyDescent="0.3">
      <c r="A527" s="5" t="s">
        <v>1039</v>
      </c>
      <c r="B527" s="3" t="s">
        <v>22</v>
      </c>
      <c r="C527" s="3" t="s">
        <v>25</v>
      </c>
      <c r="D527" s="3">
        <v>46.8</v>
      </c>
      <c r="E527" s="3">
        <v>54216.67</v>
      </c>
      <c r="F527" s="3">
        <f>Table1[[#This Row],[Unit Price]]*Table1[[#This Row],[Units Sold]]</f>
        <v>2537340.156</v>
      </c>
      <c r="G527" s="4">
        <v>45691</v>
      </c>
      <c r="H527" s="3" t="s">
        <v>11</v>
      </c>
      <c r="I527" s="6" t="s">
        <v>1040</v>
      </c>
    </row>
    <row r="528" spans="1:9" x14ac:dyDescent="0.3">
      <c r="A528" s="5" t="s">
        <v>1041</v>
      </c>
      <c r="B528" s="3" t="s">
        <v>1086</v>
      </c>
      <c r="C528" s="3" t="s">
        <v>76</v>
      </c>
      <c r="D528" s="3">
        <v>46.8</v>
      </c>
      <c r="E528" s="3">
        <v>255203.07</v>
      </c>
      <c r="F528" s="3">
        <f>Table1[[#This Row],[Unit Price]]*Table1[[#This Row],[Units Sold]]</f>
        <v>11943503.675999999</v>
      </c>
      <c r="G528" s="4">
        <v>45679</v>
      </c>
      <c r="H528" s="3" t="s">
        <v>15</v>
      </c>
      <c r="I528" s="6" t="s">
        <v>1042</v>
      </c>
    </row>
    <row r="529" spans="1:9" x14ac:dyDescent="0.3">
      <c r="A529" s="5" t="s">
        <v>1043</v>
      </c>
      <c r="B529" s="3" t="s">
        <v>13</v>
      </c>
      <c r="C529" s="3" t="s">
        <v>50</v>
      </c>
      <c r="D529" s="3">
        <v>47</v>
      </c>
      <c r="E529" s="3">
        <v>5189.6000000000004</v>
      </c>
      <c r="F529" s="3">
        <v>243911.2</v>
      </c>
      <c r="G529" s="4">
        <v>45778</v>
      </c>
      <c r="H529" s="3" t="s">
        <v>51</v>
      </c>
      <c r="I529" s="6" t="s">
        <v>1044</v>
      </c>
    </row>
    <row r="530" spans="1:9" x14ac:dyDescent="0.3">
      <c r="A530" s="5" t="s">
        <v>1045</v>
      </c>
      <c r="B530" s="3" t="s">
        <v>33</v>
      </c>
      <c r="C530" s="3" t="s">
        <v>1089</v>
      </c>
      <c r="D530" s="3">
        <v>52</v>
      </c>
      <c r="E530" s="3">
        <v>62543.86</v>
      </c>
      <c r="F530" s="3">
        <v>3252280.72</v>
      </c>
      <c r="G530" s="4">
        <v>45845</v>
      </c>
      <c r="H530" s="3" t="s">
        <v>1090</v>
      </c>
      <c r="I530" s="6" t="s">
        <v>1046</v>
      </c>
    </row>
    <row r="531" spans="1:9" x14ac:dyDescent="0.3">
      <c r="A531" s="5" t="s">
        <v>1047</v>
      </c>
      <c r="B531" s="3" t="s">
        <v>46</v>
      </c>
      <c r="C531" s="3" t="s">
        <v>98</v>
      </c>
      <c r="D531" s="3">
        <v>46.8</v>
      </c>
      <c r="E531" s="3">
        <v>43685.37</v>
      </c>
      <c r="F531" s="3">
        <f>Table1[[#This Row],[Unit Price]]*Table1[[#This Row],[Units Sold]]</f>
        <v>2044475.3160000001</v>
      </c>
      <c r="G531" s="4">
        <v>45146</v>
      </c>
      <c r="H531" s="3" t="s">
        <v>1090</v>
      </c>
      <c r="I531" s="6" t="s">
        <v>1048</v>
      </c>
    </row>
    <row r="532" spans="1:9" x14ac:dyDescent="0.3">
      <c r="A532" s="5" t="s">
        <v>1049</v>
      </c>
      <c r="B532" s="3" t="s">
        <v>22</v>
      </c>
      <c r="C532" s="3" t="s">
        <v>98</v>
      </c>
      <c r="D532" s="3">
        <v>46.8</v>
      </c>
      <c r="E532" s="3">
        <v>155703.70000000001</v>
      </c>
      <c r="F532" s="3">
        <f>Table1[[#This Row],[Unit Price]]*Table1[[#This Row],[Units Sold]]</f>
        <v>7286933.1600000001</v>
      </c>
      <c r="G532" s="4">
        <v>45827</v>
      </c>
      <c r="H532" s="3" t="s">
        <v>1090</v>
      </c>
      <c r="I532" s="6" t="s">
        <v>1050</v>
      </c>
    </row>
    <row r="533" spans="1:9" x14ac:dyDescent="0.3">
      <c r="A533" s="5" t="s">
        <v>1051</v>
      </c>
      <c r="B533" s="3" t="s">
        <v>93</v>
      </c>
      <c r="C533" s="3" t="s">
        <v>25</v>
      </c>
      <c r="D533" s="3">
        <v>46.8</v>
      </c>
      <c r="E533" s="3">
        <v>246296.88</v>
      </c>
      <c r="F533" s="3">
        <f>Table1[[#This Row],[Unit Price]]*Table1[[#This Row],[Units Sold]]</f>
        <v>11526693.983999999</v>
      </c>
      <c r="G533" s="4">
        <v>45833</v>
      </c>
      <c r="H533" s="3" t="s">
        <v>51</v>
      </c>
      <c r="I533" s="6" t="s">
        <v>1052</v>
      </c>
    </row>
    <row r="534" spans="1:9" x14ac:dyDescent="0.3">
      <c r="A534" s="5" t="s">
        <v>1053</v>
      </c>
      <c r="B534" s="3" t="s">
        <v>62</v>
      </c>
      <c r="C534" s="3" t="s">
        <v>19</v>
      </c>
      <c r="D534" s="3">
        <v>46.8</v>
      </c>
      <c r="E534" s="3">
        <v>246360.27</v>
      </c>
      <c r="F534" s="3">
        <f>Table1[[#This Row],[Unit Price]]*Table1[[#This Row],[Units Sold]]</f>
        <v>11529660.635999998</v>
      </c>
      <c r="G534" s="4">
        <v>45253</v>
      </c>
      <c r="H534" s="3" t="s">
        <v>30</v>
      </c>
      <c r="I534" s="6" t="s">
        <v>1091</v>
      </c>
    </row>
    <row r="535" spans="1:9" x14ac:dyDescent="0.3">
      <c r="A535" s="5" t="s">
        <v>1085</v>
      </c>
      <c r="B535" s="3" t="s">
        <v>83</v>
      </c>
      <c r="C535" s="3" t="s">
        <v>50</v>
      </c>
      <c r="D535" s="3">
        <v>46.8</v>
      </c>
      <c r="E535" s="3">
        <v>278698.03999999998</v>
      </c>
      <c r="F535" s="3">
        <f>Table1[[#This Row],[Unit Price]]*Table1[[#This Row],[Units Sold]]</f>
        <v>13043068.271999998</v>
      </c>
      <c r="G535" s="4">
        <v>45442</v>
      </c>
      <c r="H535" s="3" t="s">
        <v>15</v>
      </c>
      <c r="I535" s="6" t="s">
        <v>1054</v>
      </c>
    </row>
    <row r="536" spans="1:9" x14ac:dyDescent="0.3">
      <c r="A536" s="5" t="s">
        <v>1055</v>
      </c>
      <c r="B536" s="3" t="s">
        <v>49</v>
      </c>
      <c r="C536" s="3" t="s">
        <v>50</v>
      </c>
      <c r="D536" s="3">
        <v>46.8</v>
      </c>
      <c r="E536" s="3">
        <v>90133.43</v>
      </c>
      <c r="F536" s="3">
        <f>Table1[[#This Row],[Unit Price]]*Table1[[#This Row],[Units Sold]]</f>
        <v>4218244.5239999993</v>
      </c>
      <c r="G536" s="4">
        <v>45803</v>
      </c>
      <c r="H536" s="3" t="s">
        <v>11</v>
      </c>
      <c r="I536" s="6" t="s">
        <v>1056</v>
      </c>
    </row>
    <row r="537" spans="1:9" x14ac:dyDescent="0.3">
      <c r="A537" s="5" t="s">
        <v>1057</v>
      </c>
      <c r="B537" s="3" t="s">
        <v>36</v>
      </c>
      <c r="C537" s="3" t="s">
        <v>29</v>
      </c>
      <c r="D537" s="3">
        <v>46.8</v>
      </c>
      <c r="E537" s="3">
        <v>169405.48</v>
      </c>
      <c r="F537" s="3">
        <f>Table1[[#This Row],[Unit Price]]*Table1[[#This Row],[Units Sold]]</f>
        <v>7928176.4639999997</v>
      </c>
      <c r="G537" s="4">
        <v>45768</v>
      </c>
      <c r="H537" s="3" t="s">
        <v>51</v>
      </c>
      <c r="I537" s="6" t="s">
        <v>1058</v>
      </c>
    </row>
    <row r="538" spans="1:9" x14ac:dyDescent="0.3">
      <c r="A538" s="5" t="s">
        <v>1059</v>
      </c>
      <c r="B538" s="3" t="s">
        <v>22</v>
      </c>
      <c r="C538" s="3" t="s">
        <v>1089</v>
      </c>
      <c r="D538" s="3">
        <v>46.8</v>
      </c>
      <c r="E538" s="3">
        <v>170225.43</v>
      </c>
      <c r="F538" s="3">
        <f>Table1[[#This Row],[Unit Price]]*Table1[[#This Row],[Units Sold]]</f>
        <v>7966550.1239999989</v>
      </c>
      <c r="G538" s="4">
        <v>45254</v>
      </c>
      <c r="H538" s="3" t="s">
        <v>30</v>
      </c>
      <c r="I538" s="6" t="s">
        <v>1060</v>
      </c>
    </row>
    <row r="539" spans="1:9" x14ac:dyDescent="0.3">
      <c r="A539" s="5" t="s">
        <v>1061</v>
      </c>
      <c r="B539" s="3" t="s">
        <v>33</v>
      </c>
      <c r="C539" s="3" t="s">
        <v>76</v>
      </c>
      <c r="D539" s="3">
        <v>16</v>
      </c>
      <c r="E539" s="3">
        <v>254908.01</v>
      </c>
      <c r="F539" s="3">
        <v>4078528.16</v>
      </c>
      <c r="G539" s="4">
        <v>45843</v>
      </c>
      <c r="H539" s="3" t="s">
        <v>30</v>
      </c>
      <c r="I539" s="6" t="s">
        <v>1062</v>
      </c>
    </row>
    <row r="540" spans="1:9" x14ac:dyDescent="0.3">
      <c r="A540" s="5" t="s">
        <v>1063</v>
      </c>
      <c r="B540" s="3" t="s">
        <v>83</v>
      </c>
      <c r="C540" s="3" t="s">
        <v>19</v>
      </c>
      <c r="D540" s="3">
        <v>46.8</v>
      </c>
      <c r="E540" s="3">
        <v>203271.97</v>
      </c>
      <c r="F540" s="3">
        <f>Table1[[#This Row],[Unit Price]]*Table1[[#This Row],[Units Sold]]</f>
        <v>9513128.1959999986</v>
      </c>
      <c r="G540" s="4">
        <v>45832</v>
      </c>
      <c r="H540" s="3" t="s">
        <v>11</v>
      </c>
      <c r="I540" s="6" t="s">
        <v>1064</v>
      </c>
    </row>
    <row r="541" spans="1:9" x14ac:dyDescent="0.3">
      <c r="A541" s="5" t="s">
        <v>1065</v>
      </c>
      <c r="B541" s="3" t="s">
        <v>1086</v>
      </c>
      <c r="C541" s="3" t="s">
        <v>59</v>
      </c>
      <c r="D541" s="3">
        <v>46.8</v>
      </c>
      <c r="E541" s="3">
        <v>162398.45000000001</v>
      </c>
      <c r="F541" s="3">
        <f>Table1[[#This Row],[Unit Price]]*Table1[[#This Row],[Units Sold]]</f>
        <v>7600247.46</v>
      </c>
      <c r="G541" s="4">
        <v>45146</v>
      </c>
      <c r="H541" s="3" t="s">
        <v>51</v>
      </c>
      <c r="I541" s="6" t="s">
        <v>1066</v>
      </c>
    </row>
    <row r="542" spans="1:9" x14ac:dyDescent="0.3">
      <c r="A542" s="5" t="s">
        <v>1067</v>
      </c>
      <c r="B542" s="3" t="s">
        <v>83</v>
      </c>
      <c r="C542" s="3" t="s">
        <v>76</v>
      </c>
      <c r="D542" s="3">
        <v>46.8</v>
      </c>
      <c r="E542" s="3">
        <v>155703.70000000001</v>
      </c>
      <c r="F542" s="3">
        <f>Table1[[#This Row],[Unit Price]]*Table1[[#This Row],[Units Sold]]</f>
        <v>7286933.1600000001</v>
      </c>
      <c r="G542" s="4">
        <v>45767</v>
      </c>
      <c r="H542" s="3" t="s">
        <v>30</v>
      </c>
      <c r="I542" s="6" t="s">
        <v>1068</v>
      </c>
    </row>
    <row r="543" spans="1:9" x14ac:dyDescent="0.3">
      <c r="A543" s="5" t="s">
        <v>1069</v>
      </c>
      <c r="B543" s="3" t="s">
        <v>62</v>
      </c>
      <c r="C543" s="3" t="s">
        <v>1089</v>
      </c>
      <c r="D543" s="3">
        <v>97</v>
      </c>
      <c r="E543" s="3">
        <v>115461.94</v>
      </c>
      <c r="F543" s="3">
        <v>11199808.18</v>
      </c>
      <c r="G543" s="4">
        <v>45426</v>
      </c>
      <c r="H543" s="3" t="s">
        <v>1090</v>
      </c>
      <c r="I543" s="6" t="s">
        <v>1070</v>
      </c>
    </row>
    <row r="544" spans="1:9" x14ac:dyDescent="0.3">
      <c r="A544" s="5" t="s">
        <v>1071</v>
      </c>
      <c r="B544" s="3" t="s">
        <v>36</v>
      </c>
      <c r="C544" s="3" t="s">
        <v>76</v>
      </c>
      <c r="D544" s="3">
        <v>46.8</v>
      </c>
      <c r="E544" s="3">
        <v>222053.68</v>
      </c>
      <c r="F544" s="3">
        <f>Table1[[#This Row],[Unit Price]]*Table1[[#This Row],[Units Sold]]</f>
        <v>10392112.223999999</v>
      </c>
      <c r="G544" s="4">
        <v>45730</v>
      </c>
      <c r="H544" s="3" t="s">
        <v>11</v>
      </c>
      <c r="I544" s="6" t="s">
        <v>1072</v>
      </c>
    </row>
    <row r="545" spans="1:9" x14ac:dyDescent="0.3">
      <c r="A545" s="5" t="s">
        <v>1073</v>
      </c>
      <c r="B545" s="3" t="s">
        <v>66</v>
      </c>
      <c r="C545" s="3" t="s">
        <v>50</v>
      </c>
      <c r="D545" s="3">
        <v>46.8</v>
      </c>
      <c r="E545" s="3">
        <v>237254.18</v>
      </c>
      <c r="F545" s="3">
        <f>Table1[[#This Row],[Unit Price]]*Table1[[#This Row],[Units Sold]]</f>
        <v>11103495.624</v>
      </c>
      <c r="G545" s="4">
        <v>45502</v>
      </c>
      <c r="H545" s="3" t="s">
        <v>1090</v>
      </c>
      <c r="I545" s="6" t="s">
        <v>1074</v>
      </c>
    </row>
    <row r="546" spans="1:9" x14ac:dyDescent="0.3">
      <c r="A546" s="5" t="s">
        <v>1075</v>
      </c>
      <c r="B546" s="3" t="s">
        <v>97</v>
      </c>
      <c r="C546" s="3" t="s">
        <v>19</v>
      </c>
      <c r="D546" s="3">
        <v>65</v>
      </c>
      <c r="E546" s="3">
        <v>206948.51</v>
      </c>
      <c r="F546" s="3">
        <v>13451653.15</v>
      </c>
      <c r="G546" s="4">
        <v>45262</v>
      </c>
      <c r="H546" s="3" t="s">
        <v>11</v>
      </c>
      <c r="I546" s="6" t="s">
        <v>1076</v>
      </c>
    </row>
    <row r="547" spans="1:9" x14ac:dyDescent="0.3">
      <c r="A547" s="5" t="s">
        <v>1077</v>
      </c>
      <c r="B547" s="3" t="s">
        <v>83</v>
      </c>
      <c r="C547" s="3" t="s">
        <v>76</v>
      </c>
      <c r="D547" s="3">
        <v>6</v>
      </c>
      <c r="E547" s="3">
        <v>23989.09</v>
      </c>
      <c r="F547" s="3">
        <v>143934.54</v>
      </c>
      <c r="G547" s="4">
        <v>45845</v>
      </c>
      <c r="H547" s="3" t="s">
        <v>15</v>
      </c>
      <c r="I547" s="6" t="s">
        <v>1078</v>
      </c>
    </row>
    <row r="548" spans="1:9" x14ac:dyDescent="0.3">
      <c r="A548" s="5" t="s">
        <v>1085</v>
      </c>
      <c r="B548" s="3" t="s">
        <v>66</v>
      </c>
      <c r="C548" s="3" t="s">
        <v>25</v>
      </c>
      <c r="D548" s="3">
        <v>46.8</v>
      </c>
      <c r="E548" s="3">
        <v>223764.24</v>
      </c>
      <c r="F548" s="3">
        <f>Table1[[#This Row],[Unit Price]]*Table1[[#This Row],[Units Sold]]</f>
        <v>10472166.431999998</v>
      </c>
      <c r="G548" s="4">
        <v>45699</v>
      </c>
      <c r="H548" s="3" t="s">
        <v>15</v>
      </c>
      <c r="I548" s="6" t="s">
        <v>1091</v>
      </c>
    </row>
    <row r="549" spans="1:9" x14ac:dyDescent="0.3">
      <c r="A549" s="5" t="s">
        <v>1079</v>
      </c>
      <c r="B549" s="3" t="s">
        <v>62</v>
      </c>
      <c r="C549" s="3" t="s">
        <v>98</v>
      </c>
      <c r="D549" s="3">
        <v>46.8</v>
      </c>
      <c r="E549" s="3">
        <v>104084.92</v>
      </c>
      <c r="F549" s="3">
        <f>Table1[[#This Row],[Unit Price]]*Table1[[#This Row],[Units Sold]]</f>
        <v>4871174.2560000001</v>
      </c>
      <c r="G549" s="4">
        <v>45795</v>
      </c>
      <c r="H549" s="3" t="s">
        <v>51</v>
      </c>
      <c r="I549" s="6" t="s">
        <v>1080</v>
      </c>
    </row>
    <row r="550" spans="1:9" x14ac:dyDescent="0.3">
      <c r="A550" s="5" t="s">
        <v>1081</v>
      </c>
      <c r="B550" s="3" t="s">
        <v>46</v>
      </c>
      <c r="C550" s="3" t="s">
        <v>59</v>
      </c>
      <c r="D550" s="3">
        <v>46.8</v>
      </c>
      <c r="E550" s="3">
        <v>29756.89</v>
      </c>
      <c r="F550" s="3">
        <f>Table1[[#This Row],[Unit Price]]*Table1[[#This Row],[Units Sold]]</f>
        <v>1392622.4519999998</v>
      </c>
      <c r="G550" s="4">
        <v>45837</v>
      </c>
      <c r="H550" s="3" t="s">
        <v>30</v>
      </c>
      <c r="I550" s="6" t="s">
        <v>1082</v>
      </c>
    </row>
    <row r="551" spans="1:9" x14ac:dyDescent="0.3">
      <c r="A551" s="11" t="s">
        <v>1083</v>
      </c>
      <c r="B551" s="12" t="s">
        <v>36</v>
      </c>
      <c r="C551" s="12" t="s">
        <v>29</v>
      </c>
      <c r="D551" s="12">
        <v>46.8</v>
      </c>
      <c r="E551" s="12">
        <v>70027.13</v>
      </c>
      <c r="F551" s="3">
        <f>Table1[[#This Row],[Unit Price]]*Table1[[#This Row],[Units Sold]]</f>
        <v>3277269.6839999999</v>
      </c>
      <c r="G551" s="13">
        <v>45342</v>
      </c>
      <c r="H551" s="12" t="s">
        <v>1090</v>
      </c>
      <c r="I551" s="14" t="s">
        <v>1084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58"/>
  <sheetViews>
    <sheetView workbookViewId="0">
      <selection activeCell="N15" sqref="N15"/>
    </sheetView>
  </sheetViews>
  <sheetFormatPr defaultRowHeight="14.4" x14ac:dyDescent="0.3"/>
  <cols>
    <col min="1" max="1" width="12.5546875" customWidth="1"/>
    <col min="2" max="2" width="15.6640625" customWidth="1"/>
    <col min="3" max="3" width="18.88671875" customWidth="1"/>
  </cols>
  <sheetData>
    <row r="3" spans="1:2" x14ac:dyDescent="0.3">
      <c r="A3" s="15" t="s">
        <v>1092</v>
      </c>
      <c r="B3" t="s">
        <v>1094</v>
      </c>
    </row>
    <row r="4" spans="1:2" x14ac:dyDescent="0.3">
      <c r="A4" s="16" t="s">
        <v>29</v>
      </c>
      <c r="B4" s="17">
        <v>383120692.32799995</v>
      </c>
    </row>
    <row r="5" spans="1:2" x14ac:dyDescent="0.3">
      <c r="A5" s="16" t="s">
        <v>59</v>
      </c>
      <c r="B5" s="17">
        <v>400218895.69199979</v>
      </c>
    </row>
    <row r="6" spans="1:2" x14ac:dyDescent="0.3">
      <c r="A6" s="16" t="s">
        <v>1089</v>
      </c>
      <c r="B6" s="17">
        <v>433719672.64400005</v>
      </c>
    </row>
    <row r="7" spans="1:2" x14ac:dyDescent="0.3">
      <c r="A7" s="16" t="s">
        <v>19</v>
      </c>
      <c r="B7" s="17">
        <v>733295436.03599989</v>
      </c>
    </row>
    <row r="8" spans="1:2" x14ac:dyDescent="0.3">
      <c r="A8" s="16" t="s">
        <v>50</v>
      </c>
      <c r="B8" s="17">
        <v>441632935.6820001</v>
      </c>
    </row>
    <row r="9" spans="1:2" x14ac:dyDescent="0.3">
      <c r="A9" s="16" t="s">
        <v>76</v>
      </c>
      <c r="B9" s="17">
        <v>488973408.79000014</v>
      </c>
    </row>
    <row r="10" spans="1:2" x14ac:dyDescent="0.3">
      <c r="A10" s="16" t="s">
        <v>98</v>
      </c>
      <c r="B10" s="17">
        <v>507226303.21600002</v>
      </c>
    </row>
    <row r="11" spans="1:2" x14ac:dyDescent="0.3">
      <c r="A11" s="16" t="s">
        <v>25</v>
      </c>
      <c r="B11" s="17">
        <v>633848616.12000012</v>
      </c>
    </row>
    <row r="12" spans="1:2" x14ac:dyDescent="0.3">
      <c r="A12" s="16" t="s">
        <v>1098</v>
      </c>
      <c r="B12" s="17"/>
    </row>
    <row r="13" spans="1:2" x14ac:dyDescent="0.3">
      <c r="A13" s="16" t="s">
        <v>1093</v>
      </c>
      <c r="B13" s="17">
        <v>4022035960.5080004</v>
      </c>
    </row>
    <row r="20" spans="1:2" x14ac:dyDescent="0.3">
      <c r="A20" s="15" t="s">
        <v>1092</v>
      </c>
      <c r="B20" t="s">
        <v>1094</v>
      </c>
    </row>
    <row r="21" spans="1:2" x14ac:dyDescent="0.3">
      <c r="A21" s="16" t="s">
        <v>49</v>
      </c>
      <c r="B21" s="17">
        <v>174913860.07600003</v>
      </c>
    </row>
    <row r="22" spans="1:2" x14ac:dyDescent="0.3">
      <c r="A22" s="16" t="s">
        <v>18</v>
      </c>
      <c r="B22" s="17">
        <v>206751262.87999997</v>
      </c>
    </row>
    <row r="23" spans="1:2" x14ac:dyDescent="0.3">
      <c r="A23" s="16" t="s">
        <v>62</v>
      </c>
      <c r="B23" s="17">
        <v>187723757.46399999</v>
      </c>
    </row>
    <row r="24" spans="1:2" x14ac:dyDescent="0.3">
      <c r="A24" s="16" t="s">
        <v>115</v>
      </c>
      <c r="B24" s="17">
        <v>192388598.60399997</v>
      </c>
    </row>
    <row r="25" spans="1:2" x14ac:dyDescent="0.3">
      <c r="A25" s="16" t="s">
        <v>143</v>
      </c>
      <c r="B25" s="17">
        <v>113959615.87999997</v>
      </c>
    </row>
    <row r="26" spans="1:2" x14ac:dyDescent="0.3">
      <c r="A26" s="16" t="s">
        <v>230</v>
      </c>
      <c r="B26" s="17">
        <v>124796064.242</v>
      </c>
    </row>
    <row r="27" spans="1:2" x14ac:dyDescent="0.3">
      <c r="A27" s="16" t="s">
        <v>22</v>
      </c>
      <c r="B27" s="17">
        <v>289175500.02000004</v>
      </c>
    </row>
    <row r="28" spans="1:2" x14ac:dyDescent="0.3">
      <c r="A28" s="16" t="s">
        <v>83</v>
      </c>
      <c r="B28" s="17">
        <v>185610358.19399998</v>
      </c>
    </row>
    <row r="29" spans="1:2" x14ac:dyDescent="0.3">
      <c r="A29" s="16" t="s">
        <v>57</v>
      </c>
      <c r="B29" s="17">
        <v>219173786.54599997</v>
      </c>
    </row>
    <row r="30" spans="1:2" x14ac:dyDescent="0.3">
      <c r="A30" s="16" t="s">
        <v>36</v>
      </c>
      <c r="B30" s="17">
        <v>276541210.98800004</v>
      </c>
    </row>
    <row r="31" spans="1:2" x14ac:dyDescent="0.3">
      <c r="A31" s="16" t="s">
        <v>93</v>
      </c>
      <c r="B31" s="17">
        <v>210406043.90400001</v>
      </c>
    </row>
    <row r="32" spans="1:2" x14ac:dyDescent="0.3">
      <c r="A32" s="16" t="s">
        <v>39</v>
      </c>
      <c r="B32" s="17">
        <v>273679420.09799999</v>
      </c>
    </row>
    <row r="33" spans="1:2" x14ac:dyDescent="0.3">
      <c r="A33" s="16" t="s">
        <v>66</v>
      </c>
      <c r="B33" s="17">
        <v>209587693.664</v>
      </c>
    </row>
    <row r="34" spans="1:2" x14ac:dyDescent="0.3">
      <c r="A34" s="16" t="s">
        <v>13</v>
      </c>
      <c r="B34" s="17">
        <v>170809514.40799993</v>
      </c>
    </row>
    <row r="35" spans="1:2" x14ac:dyDescent="0.3">
      <c r="A35" s="16" t="s">
        <v>46</v>
      </c>
      <c r="B35" s="17">
        <v>211004645.77400002</v>
      </c>
    </row>
    <row r="36" spans="1:2" x14ac:dyDescent="0.3">
      <c r="A36" s="16" t="s">
        <v>119</v>
      </c>
      <c r="B36" s="17">
        <v>187114342.77199998</v>
      </c>
    </row>
    <row r="37" spans="1:2" x14ac:dyDescent="0.3">
      <c r="A37" s="16" t="s">
        <v>1086</v>
      </c>
      <c r="B37" s="17">
        <v>207793104.58200002</v>
      </c>
    </row>
    <row r="38" spans="1:2" x14ac:dyDescent="0.3">
      <c r="A38" s="16" t="s">
        <v>87</v>
      </c>
      <c r="B38" s="17">
        <v>150061357.25</v>
      </c>
    </row>
    <row r="39" spans="1:2" x14ac:dyDescent="0.3">
      <c r="A39" s="16" t="s">
        <v>33</v>
      </c>
      <c r="B39" s="17">
        <v>229303543.45599997</v>
      </c>
    </row>
    <row r="40" spans="1:2" x14ac:dyDescent="0.3">
      <c r="A40" s="16" t="s">
        <v>97</v>
      </c>
      <c r="B40" s="17">
        <v>201242279.70599997</v>
      </c>
    </row>
    <row r="41" spans="1:2" x14ac:dyDescent="0.3">
      <c r="A41" s="16" t="s">
        <v>1098</v>
      </c>
      <c r="B41" s="17"/>
    </row>
    <row r="42" spans="1:2" x14ac:dyDescent="0.3">
      <c r="A42" s="16" t="s">
        <v>1093</v>
      </c>
      <c r="B42" s="17">
        <v>4022035960.5079994</v>
      </c>
    </row>
    <row r="44" spans="1:2" x14ac:dyDescent="0.3">
      <c r="A44" s="15" t="s">
        <v>1092</v>
      </c>
      <c r="B44" t="s">
        <v>1094</v>
      </c>
    </row>
    <row r="45" spans="1:2" x14ac:dyDescent="0.3">
      <c r="A45" s="16" t="s">
        <v>30</v>
      </c>
      <c r="B45" s="17">
        <v>881755670.63999963</v>
      </c>
    </row>
    <row r="46" spans="1:2" x14ac:dyDescent="0.3">
      <c r="A46" s="16" t="s">
        <v>11</v>
      </c>
      <c r="B46" s="17">
        <v>756889241.72200012</v>
      </c>
    </row>
    <row r="47" spans="1:2" x14ac:dyDescent="0.3">
      <c r="A47" s="16" t="s">
        <v>51</v>
      </c>
      <c r="B47" s="17">
        <v>826194109.56799996</v>
      </c>
    </row>
    <row r="48" spans="1:2" x14ac:dyDescent="0.3">
      <c r="A48" s="16" t="s">
        <v>1090</v>
      </c>
      <c r="B48" s="17">
        <v>793444278.3779999</v>
      </c>
    </row>
    <row r="49" spans="1:2" x14ac:dyDescent="0.3">
      <c r="A49" s="16" t="s">
        <v>15</v>
      </c>
      <c r="B49" s="17">
        <v>763752660.20000005</v>
      </c>
    </row>
    <row r="50" spans="1:2" x14ac:dyDescent="0.3">
      <c r="A50" s="16" t="s">
        <v>1098</v>
      </c>
      <c r="B50" s="17"/>
    </row>
    <row r="51" spans="1:2" x14ac:dyDescent="0.3">
      <c r="A51" s="16" t="s">
        <v>1093</v>
      </c>
      <c r="B51" s="17">
        <v>4022035960.5079994</v>
      </c>
    </row>
    <row r="63" spans="1:2" x14ac:dyDescent="0.3">
      <c r="A63" s="15" t="s">
        <v>1092</v>
      </c>
      <c r="B63" t="s">
        <v>1094</v>
      </c>
    </row>
    <row r="64" spans="1:2" x14ac:dyDescent="0.3">
      <c r="A64" s="16" t="s">
        <v>987</v>
      </c>
      <c r="B64" s="17">
        <v>9132710.6520000007</v>
      </c>
    </row>
    <row r="65" spans="1:2" x14ac:dyDescent="0.3">
      <c r="A65" s="16" t="s">
        <v>252</v>
      </c>
      <c r="B65" s="17">
        <v>3830609.4840000002</v>
      </c>
    </row>
    <row r="66" spans="1:2" x14ac:dyDescent="0.3">
      <c r="A66" s="16" t="s">
        <v>35</v>
      </c>
      <c r="B66" s="17">
        <v>11833814.304</v>
      </c>
    </row>
    <row r="67" spans="1:2" x14ac:dyDescent="0.3">
      <c r="A67" s="16" t="s">
        <v>842</v>
      </c>
      <c r="B67" s="17">
        <v>85725.759999999995</v>
      </c>
    </row>
    <row r="68" spans="1:2" x14ac:dyDescent="0.3">
      <c r="A68" s="16" t="s">
        <v>462</v>
      </c>
      <c r="B68" s="17">
        <v>5260349.9519999996</v>
      </c>
    </row>
    <row r="69" spans="1:2" x14ac:dyDescent="0.3">
      <c r="A69" s="16" t="s">
        <v>237</v>
      </c>
      <c r="B69" s="17">
        <v>12974873.184</v>
      </c>
    </row>
    <row r="70" spans="1:2" x14ac:dyDescent="0.3">
      <c r="A70" s="16" t="s">
        <v>838</v>
      </c>
      <c r="B70" s="17">
        <v>12134931.588</v>
      </c>
    </row>
    <row r="71" spans="1:2" x14ac:dyDescent="0.3">
      <c r="A71" s="16" t="s">
        <v>415</v>
      </c>
      <c r="B71" s="17">
        <v>8875110.9000000004</v>
      </c>
    </row>
    <row r="72" spans="1:2" x14ac:dyDescent="0.3">
      <c r="A72" s="16" t="s">
        <v>975</v>
      </c>
      <c r="B72" s="17">
        <v>7286933.1600000001</v>
      </c>
    </row>
    <row r="73" spans="1:2" x14ac:dyDescent="0.3">
      <c r="A73" s="16" t="s">
        <v>426</v>
      </c>
      <c r="B73" s="17">
        <v>3335558.6159999995</v>
      </c>
    </row>
    <row r="74" spans="1:2" x14ac:dyDescent="0.3">
      <c r="A74" s="16" t="s">
        <v>978</v>
      </c>
      <c r="B74" s="17">
        <v>16327137.84</v>
      </c>
    </row>
    <row r="75" spans="1:2" x14ac:dyDescent="0.3">
      <c r="A75" s="16" t="s">
        <v>456</v>
      </c>
      <c r="B75" s="17">
        <v>13221824.16</v>
      </c>
    </row>
    <row r="76" spans="1:2" x14ac:dyDescent="0.3">
      <c r="A76" s="16" t="s">
        <v>809</v>
      </c>
      <c r="B76" s="17">
        <v>4531349.1599999992</v>
      </c>
    </row>
    <row r="77" spans="1:2" x14ac:dyDescent="0.3">
      <c r="A77" s="16" t="s">
        <v>12</v>
      </c>
      <c r="B77" s="17">
        <v>12542069.592</v>
      </c>
    </row>
    <row r="78" spans="1:2" x14ac:dyDescent="0.3">
      <c r="A78" s="16" t="s">
        <v>749</v>
      </c>
      <c r="B78" s="17">
        <v>1131698.412</v>
      </c>
    </row>
    <row r="79" spans="1:2" x14ac:dyDescent="0.3">
      <c r="A79" s="16" t="s">
        <v>399</v>
      </c>
      <c r="B79" s="17">
        <v>5641719.4079999998</v>
      </c>
    </row>
    <row r="80" spans="1:2" x14ac:dyDescent="0.3">
      <c r="A80" s="16" t="s">
        <v>397</v>
      </c>
      <c r="B80" s="17">
        <v>1557037</v>
      </c>
    </row>
    <row r="81" spans="1:2" x14ac:dyDescent="0.3">
      <c r="A81" s="16" t="s">
        <v>629</v>
      </c>
      <c r="B81" s="17">
        <v>474977.41199999995</v>
      </c>
    </row>
    <row r="82" spans="1:2" x14ac:dyDescent="0.3">
      <c r="A82" s="16" t="s">
        <v>184</v>
      </c>
      <c r="B82" s="17">
        <v>17520575.550000001</v>
      </c>
    </row>
    <row r="83" spans="1:2" x14ac:dyDescent="0.3">
      <c r="A83" s="16" t="s">
        <v>666</v>
      </c>
      <c r="B83" s="17">
        <v>16392655.949999999</v>
      </c>
    </row>
    <row r="84" spans="1:2" x14ac:dyDescent="0.3">
      <c r="A84" s="16" t="s">
        <v>352</v>
      </c>
      <c r="B84" s="17">
        <v>9012419.675999999</v>
      </c>
    </row>
    <row r="85" spans="1:2" x14ac:dyDescent="0.3">
      <c r="A85" s="16" t="s">
        <v>204</v>
      </c>
      <c r="B85" s="17">
        <v>6748612.8839999996</v>
      </c>
    </row>
    <row r="86" spans="1:2" x14ac:dyDescent="0.3">
      <c r="A86" s="16" t="s">
        <v>769</v>
      </c>
      <c r="B86" s="17">
        <v>7286933.1600000001</v>
      </c>
    </row>
    <row r="87" spans="1:2" x14ac:dyDescent="0.3">
      <c r="A87" s="16" t="s">
        <v>739</v>
      </c>
      <c r="B87" s="17">
        <v>5807735.3880000003</v>
      </c>
    </row>
    <row r="88" spans="1:2" x14ac:dyDescent="0.3">
      <c r="A88" s="16" t="s">
        <v>549</v>
      </c>
      <c r="B88" s="17">
        <v>3414147.87</v>
      </c>
    </row>
    <row r="89" spans="1:2" x14ac:dyDescent="0.3">
      <c r="A89" s="16" t="s">
        <v>540</v>
      </c>
      <c r="B89" s="17">
        <v>3077635.392</v>
      </c>
    </row>
    <row r="90" spans="1:2" x14ac:dyDescent="0.3">
      <c r="A90" s="16" t="s">
        <v>342</v>
      </c>
      <c r="B90" s="17">
        <v>548548.41599999997</v>
      </c>
    </row>
    <row r="91" spans="1:2" x14ac:dyDescent="0.3">
      <c r="A91" s="16" t="s">
        <v>891</v>
      </c>
      <c r="B91" s="17">
        <v>21985540.600000001</v>
      </c>
    </row>
    <row r="92" spans="1:2" x14ac:dyDescent="0.3">
      <c r="A92" s="16" t="s">
        <v>209</v>
      </c>
      <c r="B92" s="17">
        <v>26075188.41</v>
      </c>
    </row>
    <row r="93" spans="1:2" x14ac:dyDescent="0.3">
      <c r="A93" s="16" t="s">
        <v>429</v>
      </c>
      <c r="B93" s="17">
        <v>6546655.4399999995</v>
      </c>
    </row>
    <row r="94" spans="1:2" x14ac:dyDescent="0.3">
      <c r="A94" s="16" t="s">
        <v>453</v>
      </c>
      <c r="B94" s="17">
        <v>7286933.1600000001</v>
      </c>
    </row>
    <row r="95" spans="1:2" x14ac:dyDescent="0.3">
      <c r="A95" s="16" t="s">
        <v>137</v>
      </c>
      <c r="B95" s="17">
        <v>8594243.4239999987</v>
      </c>
    </row>
    <row r="96" spans="1:2" x14ac:dyDescent="0.3">
      <c r="A96" s="16" t="s">
        <v>21</v>
      </c>
      <c r="B96" s="17">
        <v>13078023.192</v>
      </c>
    </row>
    <row r="97" spans="1:2" x14ac:dyDescent="0.3">
      <c r="A97" s="16" t="s">
        <v>249</v>
      </c>
      <c r="B97" s="17">
        <v>3823758.9</v>
      </c>
    </row>
    <row r="98" spans="1:2" x14ac:dyDescent="0.3">
      <c r="A98" s="16" t="s">
        <v>497</v>
      </c>
      <c r="B98" s="17">
        <v>12678822</v>
      </c>
    </row>
    <row r="99" spans="1:2" x14ac:dyDescent="0.3">
      <c r="A99" s="16" t="s">
        <v>753</v>
      </c>
      <c r="B99" s="17">
        <v>6327881.8199999994</v>
      </c>
    </row>
    <row r="100" spans="1:2" x14ac:dyDescent="0.3">
      <c r="A100" s="16" t="s">
        <v>135</v>
      </c>
      <c r="B100" s="17">
        <v>1507949.4</v>
      </c>
    </row>
    <row r="101" spans="1:2" x14ac:dyDescent="0.3">
      <c r="A101" s="16" t="s">
        <v>825</v>
      </c>
      <c r="B101" s="17">
        <v>7286933.1600000001</v>
      </c>
    </row>
    <row r="102" spans="1:2" x14ac:dyDescent="0.3">
      <c r="A102" s="16" t="s">
        <v>102</v>
      </c>
      <c r="B102" s="17">
        <v>13861863.359999999</v>
      </c>
    </row>
    <row r="103" spans="1:2" x14ac:dyDescent="0.3">
      <c r="A103" s="16" t="s">
        <v>887</v>
      </c>
      <c r="B103" s="17">
        <v>2603124.1079999995</v>
      </c>
    </row>
    <row r="104" spans="1:2" x14ac:dyDescent="0.3">
      <c r="A104" s="16" t="s">
        <v>900</v>
      </c>
      <c r="B104" s="17">
        <v>7006666.5000000009</v>
      </c>
    </row>
    <row r="105" spans="1:2" x14ac:dyDescent="0.3">
      <c r="A105" s="16" t="s">
        <v>306</v>
      </c>
      <c r="B105" s="17">
        <v>1175180.82</v>
      </c>
    </row>
    <row r="106" spans="1:2" x14ac:dyDescent="0.3">
      <c r="A106" s="16" t="s">
        <v>727</v>
      </c>
      <c r="B106" s="17">
        <v>3181964.2919999999</v>
      </c>
    </row>
    <row r="107" spans="1:2" x14ac:dyDescent="0.3">
      <c r="A107" s="16" t="s">
        <v>431</v>
      </c>
      <c r="B107" s="17">
        <v>1788402.03</v>
      </c>
    </row>
    <row r="108" spans="1:2" x14ac:dyDescent="0.3">
      <c r="A108" s="16" t="s">
        <v>703</v>
      </c>
      <c r="B108" s="17">
        <v>3005590.86</v>
      </c>
    </row>
    <row r="109" spans="1:2" x14ac:dyDescent="0.3">
      <c r="A109" s="16" t="s">
        <v>866</v>
      </c>
      <c r="B109" s="17">
        <v>2946414.5</v>
      </c>
    </row>
    <row r="110" spans="1:2" x14ac:dyDescent="0.3">
      <c r="A110" s="16" t="s">
        <v>295</v>
      </c>
      <c r="B110" s="17">
        <v>10618702.847999999</v>
      </c>
    </row>
    <row r="111" spans="1:2" x14ac:dyDescent="0.3">
      <c r="A111" s="16" t="s">
        <v>939</v>
      </c>
      <c r="B111" s="17">
        <v>10146086.495999999</v>
      </c>
    </row>
    <row r="112" spans="1:2" x14ac:dyDescent="0.3">
      <c r="A112" s="16" t="s">
        <v>1063</v>
      </c>
      <c r="B112" s="17">
        <v>9513128.1959999986</v>
      </c>
    </row>
    <row r="113" spans="1:2" x14ac:dyDescent="0.3">
      <c r="A113" s="16" t="s">
        <v>506</v>
      </c>
      <c r="B113" s="17">
        <v>6216502.5</v>
      </c>
    </row>
    <row r="114" spans="1:2" x14ac:dyDescent="0.3">
      <c r="A114" s="16" t="s">
        <v>575</v>
      </c>
      <c r="B114" s="17">
        <v>6310365.5159999998</v>
      </c>
    </row>
    <row r="115" spans="1:2" x14ac:dyDescent="0.3">
      <c r="A115" s="16" t="s">
        <v>518</v>
      </c>
      <c r="B115" s="17">
        <v>6267552.8760000002</v>
      </c>
    </row>
    <row r="116" spans="1:2" x14ac:dyDescent="0.3">
      <c r="A116" s="16" t="s">
        <v>1047</v>
      </c>
      <c r="B116" s="17">
        <v>2044475.3160000001</v>
      </c>
    </row>
    <row r="117" spans="1:2" x14ac:dyDescent="0.3">
      <c r="A117" s="16" t="s">
        <v>555</v>
      </c>
      <c r="B117" s="17">
        <v>16863342.27</v>
      </c>
    </row>
    <row r="118" spans="1:2" x14ac:dyDescent="0.3">
      <c r="A118" s="16" t="s">
        <v>1083</v>
      </c>
      <c r="B118" s="17">
        <v>3277269.6839999999</v>
      </c>
    </row>
    <row r="119" spans="1:2" x14ac:dyDescent="0.3">
      <c r="A119" s="16" t="s">
        <v>715</v>
      </c>
      <c r="B119" s="17">
        <v>3736888.8000000003</v>
      </c>
    </row>
    <row r="120" spans="1:2" x14ac:dyDescent="0.3">
      <c r="A120" s="16" t="s">
        <v>373</v>
      </c>
      <c r="B120" s="17">
        <v>9110156.3279999997</v>
      </c>
    </row>
    <row r="121" spans="1:2" x14ac:dyDescent="0.3">
      <c r="A121" s="16" t="s">
        <v>985</v>
      </c>
      <c r="B121" s="17">
        <v>13923307.476</v>
      </c>
    </row>
    <row r="122" spans="1:2" x14ac:dyDescent="0.3">
      <c r="A122" s="16" t="s">
        <v>963</v>
      </c>
      <c r="B122" s="17">
        <v>4718153.5</v>
      </c>
    </row>
    <row r="123" spans="1:2" x14ac:dyDescent="0.3">
      <c r="A123" s="16" t="s">
        <v>168</v>
      </c>
      <c r="B123" s="17">
        <v>7680293.243999999</v>
      </c>
    </row>
    <row r="124" spans="1:2" x14ac:dyDescent="0.3">
      <c r="A124" s="16" t="s">
        <v>721</v>
      </c>
      <c r="B124" s="17">
        <v>1444865.5</v>
      </c>
    </row>
    <row r="125" spans="1:2" x14ac:dyDescent="0.3">
      <c r="A125" s="16" t="s">
        <v>1073</v>
      </c>
      <c r="B125" s="17">
        <v>11103495.624</v>
      </c>
    </row>
    <row r="126" spans="1:2" x14ac:dyDescent="0.3">
      <c r="A126" s="16" t="s">
        <v>485</v>
      </c>
      <c r="B126" s="17">
        <v>7426591.3799999999</v>
      </c>
    </row>
    <row r="127" spans="1:2" x14ac:dyDescent="0.3">
      <c r="A127" s="16" t="s">
        <v>65</v>
      </c>
      <c r="B127" s="17">
        <v>933143.96</v>
      </c>
    </row>
    <row r="128" spans="1:2" x14ac:dyDescent="0.3">
      <c r="A128" s="16" t="s">
        <v>240</v>
      </c>
      <c r="B128" s="17">
        <v>10498544.784</v>
      </c>
    </row>
    <row r="129" spans="1:2" x14ac:dyDescent="0.3">
      <c r="A129" s="16" t="s">
        <v>853</v>
      </c>
      <c r="B129" s="17">
        <v>5392609.04</v>
      </c>
    </row>
    <row r="130" spans="1:2" x14ac:dyDescent="0.3">
      <c r="A130" s="16" t="s">
        <v>647</v>
      </c>
      <c r="B130" s="17">
        <v>3228337.28</v>
      </c>
    </row>
    <row r="131" spans="1:2" x14ac:dyDescent="0.3">
      <c r="A131" s="16" t="s">
        <v>126</v>
      </c>
      <c r="B131" s="17">
        <v>6205261.1399999987</v>
      </c>
    </row>
    <row r="132" spans="1:2" x14ac:dyDescent="0.3">
      <c r="A132" s="16" t="s">
        <v>971</v>
      </c>
      <c r="B132" s="17">
        <v>2302477.52</v>
      </c>
    </row>
    <row r="133" spans="1:2" x14ac:dyDescent="0.3">
      <c r="A133" s="16" t="s">
        <v>200</v>
      </c>
      <c r="B133" s="17">
        <v>6877560.4560000002</v>
      </c>
    </row>
    <row r="134" spans="1:2" x14ac:dyDescent="0.3">
      <c r="A134" s="16" t="s">
        <v>793</v>
      </c>
      <c r="B134" s="17">
        <v>896761.32</v>
      </c>
    </row>
    <row r="135" spans="1:2" x14ac:dyDescent="0.3">
      <c r="A135" s="16" t="s">
        <v>480</v>
      </c>
      <c r="B135" s="17">
        <v>8374692.9239999987</v>
      </c>
    </row>
    <row r="136" spans="1:2" x14ac:dyDescent="0.3">
      <c r="A136" s="16" t="s">
        <v>319</v>
      </c>
      <c r="B136" s="17">
        <v>5880726.54</v>
      </c>
    </row>
    <row r="137" spans="1:2" x14ac:dyDescent="0.3">
      <c r="A137" s="16" t="s">
        <v>263</v>
      </c>
      <c r="B137" s="17">
        <v>7286933.1600000001</v>
      </c>
    </row>
    <row r="138" spans="1:2" x14ac:dyDescent="0.3">
      <c r="A138" s="16" t="s">
        <v>75</v>
      </c>
      <c r="B138" s="17">
        <v>12621059.1</v>
      </c>
    </row>
    <row r="139" spans="1:2" x14ac:dyDescent="0.3">
      <c r="A139" s="16" t="s">
        <v>683</v>
      </c>
      <c r="B139" s="17">
        <v>18668695.27</v>
      </c>
    </row>
    <row r="140" spans="1:2" x14ac:dyDescent="0.3">
      <c r="A140" s="16" t="s">
        <v>189</v>
      </c>
      <c r="B140" s="17">
        <v>4207343.3999999994</v>
      </c>
    </row>
    <row r="141" spans="1:2" x14ac:dyDescent="0.3">
      <c r="A141" s="16" t="s">
        <v>642</v>
      </c>
      <c r="B141" s="17">
        <v>966589.88399999996</v>
      </c>
    </row>
    <row r="142" spans="1:2" x14ac:dyDescent="0.3">
      <c r="A142" s="16" t="s">
        <v>904</v>
      </c>
      <c r="B142" s="17">
        <v>703406.80799999996</v>
      </c>
    </row>
    <row r="143" spans="1:2" x14ac:dyDescent="0.3">
      <c r="A143" s="16" t="s">
        <v>123</v>
      </c>
      <c r="B143" s="17">
        <v>9842321.2679999992</v>
      </c>
    </row>
    <row r="144" spans="1:2" x14ac:dyDescent="0.3">
      <c r="A144" s="16" t="s">
        <v>481</v>
      </c>
      <c r="B144" s="17">
        <v>11059659.935999999</v>
      </c>
    </row>
    <row r="145" spans="1:2" x14ac:dyDescent="0.3">
      <c r="A145" s="16" t="s">
        <v>937</v>
      </c>
      <c r="B145" s="17">
        <v>3114074</v>
      </c>
    </row>
    <row r="146" spans="1:2" x14ac:dyDescent="0.3">
      <c r="A146" s="16" t="s">
        <v>840</v>
      </c>
      <c r="B146" s="17">
        <v>14017820.67</v>
      </c>
    </row>
    <row r="147" spans="1:2" x14ac:dyDescent="0.3">
      <c r="A147" s="16" t="s">
        <v>743</v>
      </c>
      <c r="B147" s="17">
        <v>5467714.6679999996</v>
      </c>
    </row>
    <row r="148" spans="1:2" x14ac:dyDescent="0.3">
      <c r="A148" s="16" t="s">
        <v>818</v>
      </c>
      <c r="B148" s="17">
        <v>5064394.608</v>
      </c>
    </row>
    <row r="149" spans="1:2" x14ac:dyDescent="0.3">
      <c r="A149" s="16" t="s">
        <v>711</v>
      </c>
      <c r="B149" s="17">
        <v>5365891.9079999998</v>
      </c>
    </row>
    <row r="150" spans="1:2" x14ac:dyDescent="0.3">
      <c r="A150" s="16" t="s">
        <v>344</v>
      </c>
      <c r="B150" s="17">
        <v>4205844.3959999997</v>
      </c>
    </row>
    <row r="151" spans="1:2" x14ac:dyDescent="0.3">
      <c r="A151" s="16" t="s">
        <v>785</v>
      </c>
      <c r="B151" s="17">
        <v>2181950</v>
      </c>
    </row>
    <row r="152" spans="1:2" x14ac:dyDescent="0.3">
      <c r="A152" s="16" t="s">
        <v>245</v>
      </c>
      <c r="B152" s="17">
        <v>3022767.54</v>
      </c>
    </row>
    <row r="153" spans="1:2" x14ac:dyDescent="0.3">
      <c r="A153" s="16" t="s">
        <v>267</v>
      </c>
      <c r="B153" s="17">
        <v>3186549.2880000002</v>
      </c>
    </row>
    <row r="154" spans="1:2" x14ac:dyDescent="0.3">
      <c r="A154" s="16" t="s">
        <v>232</v>
      </c>
      <c r="B154" s="17">
        <v>13413650.328</v>
      </c>
    </row>
    <row r="155" spans="1:2" x14ac:dyDescent="0.3">
      <c r="A155" s="16" t="s">
        <v>945</v>
      </c>
      <c r="B155" s="17">
        <v>905482.2</v>
      </c>
    </row>
    <row r="156" spans="1:2" x14ac:dyDescent="0.3">
      <c r="A156" s="16" t="s">
        <v>533</v>
      </c>
      <c r="B156" s="17">
        <v>1670342.04</v>
      </c>
    </row>
    <row r="157" spans="1:2" x14ac:dyDescent="0.3">
      <c r="A157" s="16" t="s">
        <v>349</v>
      </c>
      <c r="B157" s="17">
        <v>4719551.148</v>
      </c>
    </row>
    <row r="158" spans="1:2" x14ac:dyDescent="0.3">
      <c r="A158" s="16" t="s">
        <v>487</v>
      </c>
      <c r="B158" s="17">
        <v>5094393.8760000002</v>
      </c>
    </row>
    <row r="159" spans="1:2" x14ac:dyDescent="0.3">
      <c r="A159" s="16" t="s">
        <v>604</v>
      </c>
      <c r="B159" s="17">
        <v>8719407.2000000011</v>
      </c>
    </row>
    <row r="160" spans="1:2" x14ac:dyDescent="0.3">
      <c r="A160" s="16" t="s">
        <v>731</v>
      </c>
      <c r="B160" s="17">
        <v>1443200.55</v>
      </c>
    </row>
    <row r="161" spans="1:2" x14ac:dyDescent="0.3">
      <c r="A161" s="16" t="s">
        <v>707</v>
      </c>
      <c r="B161" s="17">
        <v>4850924.8320000004</v>
      </c>
    </row>
    <row r="162" spans="1:2" x14ac:dyDescent="0.3">
      <c r="A162" s="16" t="s">
        <v>32</v>
      </c>
      <c r="B162" s="17">
        <v>6665108.4000000004</v>
      </c>
    </row>
    <row r="163" spans="1:2" x14ac:dyDescent="0.3">
      <c r="A163" s="16" t="s">
        <v>179</v>
      </c>
      <c r="B163" s="17">
        <v>3728858.7959999996</v>
      </c>
    </row>
    <row r="164" spans="1:2" x14ac:dyDescent="0.3">
      <c r="A164" s="16" t="s">
        <v>338</v>
      </c>
      <c r="B164" s="17">
        <v>4080742.8479999998</v>
      </c>
    </row>
    <row r="165" spans="1:2" x14ac:dyDescent="0.3">
      <c r="A165" s="16" t="s">
        <v>973</v>
      </c>
      <c r="B165" s="17">
        <v>6456987.5760000004</v>
      </c>
    </row>
    <row r="166" spans="1:2" x14ac:dyDescent="0.3">
      <c r="A166" s="16" t="s">
        <v>507</v>
      </c>
      <c r="B166" s="17">
        <v>9558826.0559999999</v>
      </c>
    </row>
    <row r="167" spans="1:2" x14ac:dyDescent="0.3">
      <c r="A167" s="16" t="s">
        <v>801</v>
      </c>
      <c r="B167" s="17">
        <v>9887842.6919999998</v>
      </c>
    </row>
    <row r="168" spans="1:2" x14ac:dyDescent="0.3">
      <c r="A168" s="16" t="s">
        <v>872</v>
      </c>
      <c r="B168" s="17">
        <v>10165222.08</v>
      </c>
    </row>
    <row r="169" spans="1:2" x14ac:dyDescent="0.3">
      <c r="A169" s="16" t="s">
        <v>27</v>
      </c>
      <c r="B169" s="17">
        <v>5531287.3199999994</v>
      </c>
    </row>
    <row r="170" spans="1:2" x14ac:dyDescent="0.3">
      <c r="A170" s="16" t="s">
        <v>288</v>
      </c>
      <c r="B170" s="17">
        <v>9174737.0519999992</v>
      </c>
    </row>
    <row r="171" spans="1:2" x14ac:dyDescent="0.3">
      <c r="A171" s="16" t="s">
        <v>156</v>
      </c>
      <c r="B171" s="17">
        <v>6728534.7479999987</v>
      </c>
    </row>
    <row r="172" spans="1:2" x14ac:dyDescent="0.3">
      <c r="A172" s="16" t="s">
        <v>1027</v>
      </c>
      <c r="B172" s="17">
        <v>3823230.9959999998</v>
      </c>
    </row>
    <row r="173" spans="1:2" x14ac:dyDescent="0.3">
      <c r="A173" s="16" t="s">
        <v>577</v>
      </c>
      <c r="B173" s="17">
        <v>12878235.395999998</v>
      </c>
    </row>
    <row r="174" spans="1:2" x14ac:dyDescent="0.3">
      <c r="A174" s="16" t="s">
        <v>751</v>
      </c>
      <c r="B174" s="17">
        <v>7286933.1600000001</v>
      </c>
    </row>
    <row r="175" spans="1:2" x14ac:dyDescent="0.3">
      <c r="A175" s="16" t="s">
        <v>606</v>
      </c>
      <c r="B175" s="17">
        <v>10622464.163999999</v>
      </c>
    </row>
    <row r="176" spans="1:2" x14ac:dyDescent="0.3">
      <c r="A176" s="16" t="s">
        <v>976</v>
      </c>
      <c r="B176" s="17">
        <v>3432347.5679999995</v>
      </c>
    </row>
    <row r="177" spans="1:2" x14ac:dyDescent="0.3">
      <c r="A177" s="16" t="s">
        <v>859</v>
      </c>
      <c r="B177" s="17">
        <v>3467699.352</v>
      </c>
    </row>
    <row r="178" spans="1:2" x14ac:dyDescent="0.3">
      <c r="A178" s="16" t="s">
        <v>737</v>
      </c>
      <c r="B178" s="17">
        <v>816885.02</v>
      </c>
    </row>
    <row r="179" spans="1:2" x14ac:dyDescent="0.3">
      <c r="A179" s="16" t="s">
        <v>227</v>
      </c>
      <c r="B179" s="17">
        <v>3283350.4</v>
      </c>
    </row>
    <row r="180" spans="1:2" x14ac:dyDescent="0.3">
      <c r="A180" s="16" t="s">
        <v>741</v>
      </c>
      <c r="B180" s="17">
        <v>7452083.3399999989</v>
      </c>
    </row>
    <row r="181" spans="1:2" x14ac:dyDescent="0.3">
      <c r="A181" s="16" t="s">
        <v>330</v>
      </c>
      <c r="B181" s="17">
        <v>11067929.027999999</v>
      </c>
    </row>
    <row r="182" spans="1:2" x14ac:dyDescent="0.3">
      <c r="A182" s="16" t="s">
        <v>403</v>
      </c>
      <c r="B182" s="17">
        <v>6715683</v>
      </c>
    </row>
    <row r="183" spans="1:2" x14ac:dyDescent="0.3">
      <c r="A183" s="16" t="s">
        <v>458</v>
      </c>
      <c r="B183" s="17">
        <v>6400653.9479999989</v>
      </c>
    </row>
    <row r="184" spans="1:2" x14ac:dyDescent="0.3">
      <c r="A184" s="16" t="s">
        <v>24</v>
      </c>
      <c r="B184" s="17">
        <v>4488107.8320000004</v>
      </c>
    </row>
    <row r="185" spans="1:2" x14ac:dyDescent="0.3">
      <c r="A185" s="16" t="s">
        <v>155</v>
      </c>
      <c r="B185" s="17">
        <v>14013689.039999999</v>
      </c>
    </row>
    <row r="186" spans="1:2" x14ac:dyDescent="0.3">
      <c r="A186" s="16" t="s">
        <v>407</v>
      </c>
      <c r="B186" s="17">
        <v>119135.01599999999</v>
      </c>
    </row>
    <row r="187" spans="1:2" x14ac:dyDescent="0.3">
      <c r="A187" s="16" t="s">
        <v>340</v>
      </c>
      <c r="B187" s="17">
        <v>7286933.1600000001</v>
      </c>
    </row>
    <row r="188" spans="1:2" x14ac:dyDescent="0.3">
      <c r="A188" s="16" t="s">
        <v>542</v>
      </c>
      <c r="B188" s="17">
        <v>1047025.512</v>
      </c>
    </row>
    <row r="189" spans="1:2" x14ac:dyDescent="0.3">
      <c r="A189" s="16" t="s">
        <v>346</v>
      </c>
      <c r="B189" s="17">
        <v>8472367.7999999989</v>
      </c>
    </row>
    <row r="190" spans="1:2" x14ac:dyDescent="0.3">
      <c r="A190" s="16" t="s">
        <v>478</v>
      </c>
      <c r="B190" s="17">
        <v>9559480.7879999988</v>
      </c>
    </row>
    <row r="191" spans="1:2" x14ac:dyDescent="0.3">
      <c r="A191" s="16" t="s">
        <v>649</v>
      </c>
      <c r="B191" s="17">
        <v>12248852.615999999</v>
      </c>
    </row>
    <row r="192" spans="1:2" x14ac:dyDescent="0.3">
      <c r="A192" s="16" t="s">
        <v>747</v>
      </c>
      <c r="B192" s="17">
        <v>4374205.88</v>
      </c>
    </row>
    <row r="193" spans="1:2" x14ac:dyDescent="0.3">
      <c r="A193" s="16" t="s">
        <v>365</v>
      </c>
      <c r="B193" s="17">
        <v>3847648.4279999998</v>
      </c>
    </row>
    <row r="194" spans="1:2" x14ac:dyDescent="0.3">
      <c r="A194" s="16" t="s">
        <v>1031</v>
      </c>
      <c r="B194" s="17">
        <v>9616763.9879999999</v>
      </c>
    </row>
    <row r="195" spans="1:2" x14ac:dyDescent="0.3">
      <c r="A195" s="16" t="s">
        <v>687</v>
      </c>
      <c r="B195" s="17">
        <v>7329567.4919999996</v>
      </c>
    </row>
    <row r="196" spans="1:2" x14ac:dyDescent="0.3">
      <c r="A196" s="16" t="s">
        <v>254</v>
      </c>
      <c r="B196" s="17">
        <v>1554385.2479999999</v>
      </c>
    </row>
    <row r="197" spans="1:2" x14ac:dyDescent="0.3">
      <c r="A197" s="16" t="s">
        <v>451</v>
      </c>
      <c r="B197" s="17">
        <v>4331882.75</v>
      </c>
    </row>
    <row r="198" spans="1:2" x14ac:dyDescent="0.3">
      <c r="A198" s="16" t="s">
        <v>114</v>
      </c>
      <c r="B198" s="17">
        <v>16028191.4</v>
      </c>
    </row>
    <row r="199" spans="1:2" x14ac:dyDescent="0.3">
      <c r="A199" s="16" t="s">
        <v>445</v>
      </c>
      <c r="B199" s="17">
        <v>8975961.0720000006</v>
      </c>
    </row>
    <row r="200" spans="1:2" x14ac:dyDescent="0.3">
      <c r="A200" s="16" t="s">
        <v>811</v>
      </c>
      <c r="B200" s="17">
        <v>3990927.5639999998</v>
      </c>
    </row>
    <row r="201" spans="1:2" x14ac:dyDescent="0.3">
      <c r="A201" s="16" t="s">
        <v>586</v>
      </c>
      <c r="B201" s="17">
        <v>7286933.1600000001</v>
      </c>
    </row>
    <row r="202" spans="1:2" x14ac:dyDescent="0.3">
      <c r="A202" s="16" t="s">
        <v>243</v>
      </c>
      <c r="B202" s="17">
        <v>5449629.5</v>
      </c>
    </row>
    <row r="203" spans="1:2" x14ac:dyDescent="0.3">
      <c r="A203" s="16" t="s">
        <v>369</v>
      </c>
      <c r="B203" s="17">
        <v>4658466.852</v>
      </c>
    </row>
    <row r="204" spans="1:2" x14ac:dyDescent="0.3">
      <c r="A204" s="16" t="s">
        <v>489</v>
      </c>
      <c r="B204" s="17">
        <v>12880052.171999998</v>
      </c>
    </row>
    <row r="205" spans="1:2" x14ac:dyDescent="0.3">
      <c r="A205" s="16" t="s">
        <v>71</v>
      </c>
      <c r="B205" s="17">
        <v>7134012.2699999996</v>
      </c>
    </row>
    <row r="206" spans="1:2" x14ac:dyDescent="0.3">
      <c r="A206" s="16" t="s">
        <v>591</v>
      </c>
      <c r="B206" s="17">
        <v>12081692.843999999</v>
      </c>
    </row>
    <row r="207" spans="1:2" x14ac:dyDescent="0.3">
      <c r="A207" s="16" t="s">
        <v>371</v>
      </c>
      <c r="B207" s="17">
        <v>10271205.828</v>
      </c>
    </row>
    <row r="208" spans="1:2" x14ac:dyDescent="0.3">
      <c r="A208" s="16" t="s">
        <v>292</v>
      </c>
      <c r="B208" s="17">
        <v>6691091.4720000001</v>
      </c>
    </row>
    <row r="209" spans="1:2" x14ac:dyDescent="0.3">
      <c r="A209" s="16" t="s">
        <v>595</v>
      </c>
      <c r="B209" s="17">
        <v>13939736.147999998</v>
      </c>
    </row>
    <row r="210" spans="1:2" x14ac:dyDescent="0.3">
      <c r="A210" s="16" t="s">
        <v>181</v>
      </c>
      <c r="B210" s="17">
        <v>6809958.7919999994</v>
      </c>
    </row>
    <row r="211" spans="1:2" x14ac:dyDescent="0.3">
      <c r="A211" s="16" t="s">
        <v>559</v>
      </c>
      <c r="B211" s="17">
        <v>4047435.7559999996</v>
      </c>
    </row>
    <row r="212" spans="1:2" x14ac:dyDescent="0.3">
      <c r="A212" s="16" t="s">
        <v>833</v>
      </c>
      <c r="B212" s="17">
        <v>2870556.6239999998</v>
      </c>
    </row>
    <row r="213" spans="1:2" x14ac:dyDescent="0.3">
      <c r="A213" s="16" t="s">
        <v>435</v>
      </c>
      <c r="B213" s="17">
        <v>9639819.5399999991</v>
      </c>
    </row>
    <row r="214" spans="1:2" x14ac:dyDescent="0.3">
      <c r="A214" s="16" t="s">
        <v>689</v>
      </c>
      <c r="B214" s="17">
        <v>5820107.9039999992</v>
      </c>
    </row>
    <row r="215" spans="1:2" x14ac:dyDescent="0.3">
      <c r="A215" s="16" t="s">
        <v>483</v>
      </c>
      <c r="B215" s="17">
        <v>7389216.4319999991</v>
      </c>
    </row>
    <row r="216" spans="1:2" x14ac:dyDescent="0.3">
      <c r="A216" s="16" t="s">
        <v>983</v>
      </c>
      <c r="B216" s="17">
        <v>1153375.236</v>
      </c>
    </row>
    <row r="217" spans="1:2" x14ac:dyDescent="0.3">
      <c r="A217" s="16" t="s">
        <v>324</v>
      </c>
      <c r="B217" s="17">
        <v>15691749.92</v>
      </c>
    </row>
    <row r="218" spans="1:2" x14ac:dyDescent="0.3">
      <c r="A218" s="16" t="s">
        <v>61</v>
      </c>
      <c r="B218" s="17">
        <v>4666252.9679999994</v>
      </c>
    </row>
    <row r="219" spans="1:2" x14ac:dyDescent="0.3">
      <c r="A219" s="16" t="s">
        <v>681</v>
      </c>
      <c r="B219" s="17">
        <v>3343989.1679999996</v>
      </c>
    </row>
    <row r="220" spans="1:2" x14ac:dyDescent="0.3">
      <c r="A220" s="16" t="s">
        <v>638</v>
      </c>
      <c r="B220" s="17">
        <v>3396723.4079999998</v>
      </c>
    </row>
    <row r="221" spans="1:2" x14ac:dyDescent="0.3">
      <c r="A221" s="16" t="s">
        <v>125</v>
      </c>
      <c r="B221" s="17">
        <v>230559.64</v>
      </c>
    </row>
    <row r="222" spans="1:2" x14ac:dyDescent="0.3">
      <c r="A222" s="16" t="s">
        <v>322</v>
      </c>
      <c r="B222" s="17">
        <v>11763772.488</v>
      </c>
    </row>
    <row r="223" spans="1:2" x14ac:dyDescent="0.3">
      <c r="A223" s="16" t="s">
        <v>511</v>
      </c>
      <c r="B223" s="17">
        <v>10072152.323999999</v>
      </c>
    </row>
    <row r="224" spans="1:2" x14ac:dyDescent="0.3">
      <c r="A224" s="16" t="s">
        <v>471</v>
      </c>
      <c r="B224" s="17">
        <v>11264643</v>
      </c>
    </row>
    <row r="225" spans="1:2" x14ac:dyDescent="0.3">
      <c r="A225" s="16" t="s">
        <v>814</v>
      </c>
      <c r="B225" s="17">
        <v>19089619.920000002</v>
      </c>
    </row>
    <row r="226" spans="1:2" x14ac:dyDescent="0.3">
      <c r="A226" s="16" t="s">
        <v>924</v>
      </c>
      <c r="B226" s="17">
        <v>13113554.687999997</v>
      </c>
    </row>
    <row r="227" spans="1:2" x14ac:dyDescent="0.3">
      <c r="A227" s="16" t="s">
        <v>150</v>
      </c>
      <c r="B227" s="17">
        <v>7293575.0159999989</v>
      </c>
    </row>
    <row r="228" spans="1:2" x14ac:dyDescent="0.3">
      <c r="A228" s="16" t="s">
        <v>993</v>
      </c>
      <c r="B228" s="17">
        <v>7286933.1600000001</v>
      </c>
    </row>
    <row r="229" spans="1:2" x14ac:dyDescent="0.3">
      <c r="A229" s="16" t="s">
        <v>898</v>
      </c>
      <c r="B229" s="17">
        <v>1065259.7279999999</v>
      </c>
    </row>
    <row r="230" spans="1:2" x14ac:dyDescent="0.3">
      <c r="A230" s="16" t="s">
        <v>313</v>
      </c>
      <c r="B230" s="17">
        <v>11942178.767999999</v>
      </c>
    </row>
    <row r="231" spans="1:2" x14ac:dyDescent="0.3">
      <c r="A231" s="16" t="s">
        <v>476</v>
      </c>
      <c r="B231" s="17">
        <v>10702081.727999998</v>
      </c>
    </row>
    <row r="232" spans="1:2" x14ac:dyDescent="0.3">
      <c r="A232" s="16" t="s">
        <v>82</v>
      </c>
      <c r="B232" s="17">
        <v>717097.72</v>
      </c>
    </row>
    <row r="233" spans="1:2" x14ac:dyDescent="0.3">
      <c r="A233" s="16" t="s">
        <v>278</v>
      </c>
      <c r="B233" s="17">
        <v>291699.65999999997</v>
      </c>
    </row>
    <row r="234" spans="1:2" x14ac:dyDescent="0.3">
      <c r="A234" s="16" t="s">
        <v>1035</v>
      </c>
      <c r="B234" s="17">
        <v>7634843.892</v>
      </c>
    </row>
    <row r="235" spans="1:2" x14ac:dyDescent="0.3">
      <c r="A235" s="16" t="s">
        <v>1017</v>
      </c>
      <c r="B235" s="17">
        <v>827358.27</v>
      </c>
    </row>
    <row r="236" spans="1:2" x14ac:dyDescent="0.3">
      <c r="A236" s="16" t="s">
        <v>919</v>
      </c>
      <c r="B236" s="17">
        <v>7286933.1600000001</v>
      </c>
    </row>
    <row r="237" spans="1:2" x14ac:dyDescent="0.3">
      <c r="A237" s="16" t="s">
        <v>562</v>
      </c>
      <c r="B237" s="17">
        <v>1921652.4599999997</v>
      </c>
    </row>
    <row r="238" spans="1:2" x14ac:dyDescent="0.3">
      <c r="A238" s="16" t="s">
        <v>130</v>
      </c>
      <c r="B238" s="17">
        <v>5811696.54</v>
      </c>
    </row>
    <row r="239" spans="1:2" x14ac:dyDescent="0.3">
      <c r="A239" s="16" t="s">
        <v>42</v>
      </c>
      <c r="B239" s="17">
        <v>7134231.311999999</v>
      </c>
    </row>
    <row r="240" spans="1:2" x14ac:dyDescent="0.3">
      <c r="A240" s="16" t="s">
        <v>290</v>
      </c>
      <c r="B240" s="17">
        <v>12367082.987999998</v>
      </c>
    </row>
    <row r="241" spans="1:2" x14ac:dyDescent="0.3">
      <c r="A241" s="16" t="s">
        <v>864</v>
      </c>
      <c r="B241" s="17">
        <v>13247565.083999999</v>
      </c>
    </row>
    <row r="242" spans="1:2" x14ac:dyDescent="0.3">
      <c r="A242" s="16" t="s">
        <v>911</v>
      </c>
      <c r="B242" s="17">
        <v>1397378.8</v>
      </c>
    </row>
    <row r="243" spans="1:2" x14ac:dyDescent="0.3">
      <c r="A243" s="16" t="s">
        <v>177</v>
      </c>
      <c r="B243" s="17">
        <v>11287875.923999999</v>
      </c>
    </row>
    <row r="244" spans="1:2" x14ac:dyDescent="0.3">
      <c r="A244" s="16" t="s">
        <v>38</v>
      </c>
      <c r="B244" s="17">
        <v>8345400.8039999995</v>
      </c>
    </row>
    <row r="245" spans="1:2" x14ac:dyDescent="0.3">
      <c r="A245" s="16" t="s">
        <v>821</v>
      </c>
      <c r="B245" s="17">
        <v>6555192.6959999995</v>
      </c>
    </row>
    <row r="246" spans="1:2" x14ac:dyDescent="0.3">
      <c r="A246" s="16" t="s">
        <v>921</v>
      </c>
      <c r="B246" s="17">
        <v>688377.97</v>
      </c>
    </row>
    <row r="247" spans="1:2" x14ac:dyDescent="0.3">
      <c r="A247" s="16" t="s">
        <v>902</v>
      </c>
      <c r="B247" s="17">
        <v>11488921.704</v>
      </c>
    </row>
    <row r="248" spans="1:2" x14ac:dyDescent="0.3">
      <c r="A248" s="16" t="s">
        <v>869</v>
      </c>
      <c r="B248" s="17">
        <v>5957289.2599999998</v>
      </c>
    </row>
    <row r="249" spans="1:2" x14ac:dyDescent="0.3">
      <c r="A249" s="16" t="s">
        <v>1053</v>
      </c>
      <c r="B249" s="17">
        <v>11529660.635999998</v>
      </c>
    </row>
    <row r="250" spans="1:2" x14ac:dyDescent="0.3">
      <c r="A250" s="16" t="s">
        <v>671</v>
      </c>
      <c r="B250" s="17">
        <v>9344432.6999999993</v>
      </c>
    </row>
    <row r="251" spans="1:2" x14ac:dyDescent="0.3">
      <c r="A251" s="16" t="s">
        <v>1051</v>
      </c>
      <c r="B251" s="17">
        <v>11526693.983999999</v>
      </c>
    </row>
    <row r="252" spans="1:2" x14ac:dyDescent="0.3">
      <c r="A252" s="16" t="s">
        <v>310</v>
      </c>
      <c r="B252" s="17">
        <v>1773892.88</v>
      </c>
    </row>
    <row r="253" spans="1:2" x14ac:dyDescent="0.3">
      <c r="A253" s="16" t="s">
        <v>803</v>
      </c>
      <c r="B253" s="17">
        <v>5582832.8399999999</v>
      </c>
    </row>
    <row r="254" spans="1:2" x14ac:dyDescent="0.3">
      <c r="A254" s="16" t="s">
        <v>956</v>
      </c>
      <c r="B254" s="17">
        <v>12767703.4</v>
      </c>
    </row>
    <row r="255" spans="1:2" x14ac:dyDescent="0.3">
      <c r="A255" s="16" t="s">
        <v>68</v>
      </c>
      <c r="B255" s="17">
        <v>5385913.8300000001</v>
      </c>
    </row>
    <row r="256" spans="1:2" x14ac:dyDescent="0.3">
      <c r="A256" s="16" t="s">
        <v>1033</v>
      </c>
      <c r="B256" s="17">
        <v>5828548.6799999997</v>
      </c>
    </row>
    <row r="257" spans="1:2" x14ac:dyDescent="0.3">
      <c r="A257" s="16" t="s">
        <v>568</v>
      </c>
      <c r="B257" s="17">
        <v>15105632.49</v>
      </c>
    </row>
    <row r="258" spans="1:2" x14ac:dyDescent="0.3">
      <c r="A258" s="16" t="s">
        <v>932</v>
      </c>
      <c r="B258" s="17">
        <v>7483209.5520000001</v>
      </c>
    </row>
    <row r="259" spans="1:2" x14ac:dyDescent="0.3">
      <c r="A259" s="16" t="s">
        <v>908</v>
      </c>
      <c r="B259" s="17">
        <v>1950563.6279999998</v>
      </c>
    </row>
    <row r="260" spans="1:2" x14ac:dyDescent="0.3">
      <c r="A260" s="16" t="s">
        <v>1065</v>
      </c>
      <c r="B260" s="17">
        <v>7600247.46</v>
      </c>
    </row>
    <row r="261" spans="1:2" x14ac:dyDescent="0.3">
      <c r="A261" s="16" t="s">
        <v>191</v>
      </c>
      <c r="B261" s="17">
        <v>13219826.255999999</v>
      </c>
    </row>
    <row r="262" spans="1:2" x14ac:dyDescent="0.3">
      <c r="A262" s="16" t="s">
        <v>107</v>
      </c>
      <c r="B262" s="17">
        <v>10131931.368000001</v>
      </c>
    </row>
    <row r="263" spans="1:2" x14ac:dyDescent="0.3">
      <c r="A263" s="16" t="s">
        <v>844</v>
      </c>
      <c r="B263" s="17">
        <v>7286933.1600000001</v>
      </c>
    </row>
    <row r="264" spans="1:2" x14ac:dyDescent="0.3">
      <c r="A264" s="16" t="s">
        <v>766</v>
      </c>
      <c r="B264" s="17">
        <v>577722.13199999998</v>
      </c>
    </row>
    <row r="265" spans="1:2" x14ac:dyDescent="0.3">
      <c r="A265" s="16" t="s">
        <v>53</v>
      </c>
      <c r="B265" s="17">
        <v>6329990.0099999998</v>
      </c>
    </row>
    <row r="266" spans="1:2" x14ac:dyDescent="0.3">
      <c r="A266" s="16" t="s">
        <v>383</v>
      </c>
      <c r="B266" s="17">
        <v>9476210.9519999996</v>
      </c>
    </row>
    <row r="267" spans="1:2" x14ac:dyDescent="0.3">
      <c r="A267" s="16" t="s">
        <v>405</v>
      </c>
      <c r="B267" s="17">
        <v>13140489.959999999</v>
      </c>
    </row>
    <row r="268" spans="1:2" x14ac:dyDescent="0.3">
      <c r="A268" s="16" t="s">
        <v>610</v>
      </c>
      <c r="B268" s="17">
        <v>7515162.1799999997</v>
      </c>
    </row>
    <row r="269" spans="1:2" x14ac:dyDescent="0.3">
      <c r="A269" s="16" t="s">
        <v>1039</v>
      </c>
      <c r="B269" s="17">
        <v>2537340.156</v>
      </c>
    </row>
    <row r="270" spans="1:2" x14ac:dyDescent="0.3">
      <c r="A270" s="16" t="s">
        <v>1002</v>
      </c>
      <c r="B270" s="17">
        <v>1364282.46</v>
      </c>
    </row>
    <row r="271" spans="1:2" x14ac:dyDescent="0.3">
      <c r="A271" s="16" t="s">
        <v>317</v>
      </c>
      <c r="B271" s="17">
        <v>12939288.804000001</v>
      </c>
    </row>
    <row r="272" spans="1:2" x14ac:dyDescent="0.3">
      <c r="A272" s="16" t="s">
        <v>949</v>
      </c>
      <c r="B272" s="17">
        <v>6058572.6239999989</v>
      </c>
    </row>
    <row r="273" spans="1:2" x14ac:dyDescent="0.3">
      <c r="A273" s="16" t="s">
        <v>379</v>
      </c>
      <c r="B273" s="17">
        <v>4748566.68</v>
      </c>
    </row>
    <row r="274" spans="1:2" x14ac:dyDescent="0.3">
      <c r="A274" s="16" t="s">
        <v>1009</v>
      </c>
      <c r="B274" s="17">
        <v>28734589.800000001</v>
      </c>
    </row>
    <row r="275" spans="1:2" x14ac:dyDescent="0.3">
      <c r="A275" s="16" t="s">
        <v>783</v>
      </c>
      <c r="B275" s="17">
        <v>4273065.108</v>
      </c>
    </row>
    <row r="276" spans="1:2" x14ac:dyDescent="0.3">
      <c r="A276" s="16" t="s">
        <v>299</v>
      </c>
      <c r="B276" s="17">
        <v>4023952.4519999996</v>
      </c>
    </row>
    <row r="277" spans="1:2" x14ac:dyDescent="0.3">
      <c r="A277" s="16" t="s">
        <v>117</v>
      </c>
      <c r="B277" s="17">
        <v>5769991.7300000004</v>
      </c>
    </row>
    <row r="278" spans="1:2" x14ac:dyDescent="0.3">
      <c r="A278" s="16" t="s">
        <v>391</v>
      </c>
      <c r="B278" s="17">
        <v>3170553.62</v>
      </c>
    </row>
    <row r="279" spans="1:2" x14ac:dyDescent="0.3">
      <c r="A279" s="16" t="s">
        <v>1001</v>
      </c>
      <c r="B279" s="17">
        <v>9874899.216</v>
      </c>
    </row>
    <row r="280" spans="1:2" x14ac:dyDescent="0.3">
      <c r="A280" s="16" t="s">
        <v>906</v>
      </c>
      <c r="B280" s="17">
        <v>57887.040000000001</v>
      </c>
    </row>
    <row r="281" spans="1:2" x14ac:dyDescent="0.3">
      <c r="A281" s="16" t="s">
        <v>923</v>
      </c>
      <c r="B281" s="17">
        <v>6319490.4299999997</v>
      </c>
    </row>
    <row r="282" spans="1:2" x14ac:dyDescent="0.3">
      <c r="A282" s="16" t="s">
        <v>387</v>
      </c>
      <c r="B282" s="17">
        <v>5687906.9699999997</v>
      </c>
    </row>
    <row r="283" spans="1:2" x14ac:dyDescent="0.3">
      <c r="A283" s="16" t="s">
        <v>1071</v>
      </c>
      <c r="B283" s="17">
        <v>10392112.223999999</v>
      </c>
    </row>
    <row r="284" spans="1:2" x14ac:dyDescent="0.3">
      <c r="A284" s="16" t="s">
        <v>862</v>
      </c>
      <c r="B284" s="17">
        <v>12767703.4</v>
      </c>
    </row>
    <row r="285" spans="1:2" x14ac:dyDescent="0.3">
      <c r="A285" s="16" t="s">
        <v>509</v>
      </c>
      <c r="B285" s="17">
        <v>7286933.1600000001</v>
      </c>
    </row>
    <row r="286" spans="1:2" x14ac:dyDescent="0.3">
      <c r="A286" s="16" t="s">
        <v>950</v>
      </c>
      <c r="B286" s="17">
        <v>13194966.095999997</v>
      </c>
    </row>
    <row r="287" spans="1:2" x14ac:dyDescent="0.3">
      <c r="A287" s="16" t="s">
        <v>653</v>
      </c>
      <c r="B287" s="17">
        <v>811185.1</v>
      </c>
    </row>
    <row r="288" spans="1:2" x14ac:dyDescent="0.3">
      <c r="A288" s="16" t="s">
        <v>725</v>
      </c>
      <c r="B288" s="17">
        <v>3400954.5959999999</v>
      </c>
    </row>
    <row r="289" spans="1:2" x14ac:dyDescent="0.3">
      <c r="A289" s="16" t="s">
        <v>884</v>
      </c>
      <c r="B289" s="17">
        <v>1985142.7439999999</v>
      </c>
    </row>
    <row r="290" spans="1:2" x14ac:dyDescent="0.3">
      <c r="A290" s="16" t="s">
        <v>889</v>
      </c>
      <c r="B290" s="17">
        <v>12489267.023999998</v>
      </c>
    </row>
    <row r="291" spans="1:2" x14ac:dyDescent="0.3">
      <c r="A291" s="16" t="s">
        <v>779</v>
      </c>
      <c r="B291" s="17">
        <v>2951314.7039999999</v>
      </c>
    </row>
    <row r="292" spans="1:2" x14ac:dyDescent="0.3">
      <c r="A292" s="16" t="s">
        <v>781</v>
      </c>
      <c r="B292" s="17">
        <v>12736916.244000001</v>
      </c>
    </row>
    <row r="293" spans="1:2" x14ac:dyDescent="0.3">
      <c r="A293" s="16" t="s">
        <v>183</v>
      </c>
      <c r="B293" s="17">
        <v>7286933.1600000001</v>
      </c>
    </row>
    <row r="294" spans="1:2" x14ac:dyDescent="0.3">
      <c r="A294" s="16" t="s">
        <v>633</v>
      </c>
      <c r="B294" s="17">
        <v>14588890.5</v>
      </c>
    </row>
    <row r="295" spans="1:2" x14ac:dyDescent="0.3">
      <c r="A295" s="16" t="s">
        <v>443</v>
      </c>
      <c r="B295" s="17">
        <v>9698924.1959999986</v>
      </c>
    </row>
    <row r="296" spans="1:2" x14ac:dyDescent="0.3">
      <c r="A296" s="16" t="s">
        <v>153</v>
      </c>
      <c r="B296" s="17">
        <v>7885125.6119999997</v>
      </c>
    </row>
    <row r="297" spans="1:2" x14ac:dyDescent="0.3">
      <c r="A297" s="16" t="s">
        <v>256</v>
      </c>
      <c r="B297" s="17">
        <v>2001571.65</v>
      </c>
    </row>
    <row r="298" spans="1:2" x14ac:dyDescent="0.3">
      <c r="A298" s="16" t="s">
        <v>529</v>
      </c>
      <c r="B298" s="17">
        <v>7286933.1600000001</v>
      </c>
    </row>
    <row r="299" spans="1:2" x14ac:dyDescent="0.3">
      <c r="A299" s="16" t="s">
        <v>952</v>
      </c>
      <c r="B299" s="17">
        <v>2536111.656</v>
      </c>
    </row>
    <row r="300" spans="1:2" x14ac:dyDescent="0.3">
      <c r="A300" s="16" t="s">
        <v>878</v>
      </c>
      <c r="B300" s="17">
        <v>15617534.880000001</v>
      </c>
    </row>
    <row r="301" spans="1:2" x14ac:dyDescent="0.3">
      <c r="A301" s="16" t="s">
        <v>897</v>
      </c>
      <c r="B301" s="17">
        <v>11784287.267999999</v>
      </c>
    </row>
    <row r="302" spans="1:2" x14ac:dyDescent="0.3">
      <c r="A302" s="16" t="s">
        <v>1081</v>
      </c>
      <c r="B302" s="17">
        <v>1392622.4519999998</v>
      </c>
    </row>
    <row r="303" spans="1:2" x14ac:dyDescent="0.3">
      <c r="A303" s="16" t="s">
        <v>401</v>
      </c>
      <c r="B303" s="17">
        <v>13783288.895999998</v>
      </c>
    </row>
    <row r="304" spans="1:2" x14ac:dyDescent="0.3">
      <c r="A304" s="16" t="s">
        <v>395</v>
      </c>
      <c r="B304" s="17">
        <v>4619816.6039999994</v>
      </c>
    </row>
    <row r="305" spans="1:2" x14ac:dyDescent="0.3">
      <c r="A305" s="16" t="s">
        <v>454</v>
      </c>
      <c r="B305" s="17">
        <v>13442339.663999999</v>
      </c>
    </row>
    <row r="306" spans="1:2" x14ac:dyDescent="0.3">
      <c r="A306" s="16" t="s">
        <v>171</v>
      </c>
      <c r="B306" s="17">
        <v>9496779.5519999992</v>
      </c>
    </row>
    <row r="307" spans="1:2" x14ac:dyDescent="0.3">
      <c r="A307" s="16" t="s">
        <v>142</v>
      </c>
      <c r="B307" s="17">
        <v>7286933.1600000001</v>
      </c>
    </row>
    <row r="308" spans="1:2" x14ac:dyDescent="0.3">
      <c r="A308" s="16" t="s">
        <v>247</v>
      </c>
      <c r="B308" s="17">
        <v>11628468.071999999</v>
      </c>
    </row>
    <row r="309" spans="1:2" x14ac:dyDescent="0.3">
      <c r="A309" s="16" t="s">
        <v>659</v>
      </c>
      <c r="B309" s="17">
        <v>7286933.1600000001</v>
      </c>
    </row>
    <row r="310" spans="1:2" x14ac:dyDescent="0.3">
      <c r="A310" s="16" t="s">
        <v>713</v>
      </c>
      <c r="B310" s="17">
        <v>7374589.0919999992</v>
      </c>
    </row>
    <row r="311" spans="1:2" x14ac:dyDescent="0.3">
      <c r="A311" s="16" t="s">
        <v>1041</v>
      </c>
      <c r="B311" s="17">
        <v>11943503.675999999</v>
      </c>
    </row>
    <row r="312" spans="1:2" x14ac:dyDescent="0.3">
      <c r="A312" s="16" t="s">
        <v>613</v>
      </c>
      <c r="B312" s="17">
        <v>6121264.3200000003</v>
      </c>
    </row>
    <row r="313" spans="1:2" x14ac:dyDescent="0.3">
      <c r="A313" s="16" t="s">
        <v>437</v>
      </c>
      <c r="B313" s="17">
        <v>12962207.699999999</v>
      </c>
    </row>
    <row r="314" spans="1:2" x14ac:dyDescent="0.3">
      <c r="A314" s="16" t="s">
        <v>733</v>
      </c>
      <c r="B314" s="17">
        <v>7286933.1600000001</v>
      </c>
    </row>
    <row r="315" spans="1:2" x14ac:dyDescent="0.3">
      <c r="A315" s="16" t="s">
        <v>699</v>
      </c>
      <c r="B315" s="17">
        <v>2478171.852</v>
      </c>
    </row>
    <row r="316" spans="1:2" x14ac:dyDescent="0.3">
      <c r="A316" s="16" t="s">
        <v>195</v>
      </c>
      <c r="B316" s="17">
        <v>10832641.092</v>
      </c>
    </row>
    <row r="317" spans="1:2" x14ac:dyDescent="0.3">
      <c r="A317" s="16" t="s">
        <v>999</v>
      </c>
      <c r="B317" s="17">
        <v>8948443.1399999987</v>
      </c>
    </row>
    <row r="318" spans="1:2" x14ac:dyDescent="0.3">
      <c r="A318" s="16" t="s">
        <v>334</v>
      </c>
      <c r="B318" s="17">
        <v>10342017.16</v>
      </c>
    </row>
    <row r="319" spans="1:2" x14ac:dyDescent="0.3">
      <c r="A319" s="16" t="s">
        <v>564</v>
      </c>
      <c r="B319" s="17">
        <v>9015399.4319999982</v>
      </c>
    </row>
    <row r="320" spans="1:2" x14ac:dyDescent="0.3">
      <c r="A320" s="16" t="s">
        <v>473</v>
      </c>
      <c r="B320" s="17">
        <v>7286933.1600000001</v>
      </c>
    </row>
    <row r="321" spans="1:2" x14ac:dyDescent="0.3">
      <c r="A321" s="16" t="s">
        <v>640</v>
      </c>
      <c r="B321" s="17">
        <v>7286933.1600000001</v>
      </c>
    </row>
    <row r="322" spans="1:2" x14ac:dyDescent="0.3">
      <c r="A322" s="16" t="s">
        <v>148</v>
      </c>
      <c r="B322" s="17">
        <v>9915969.0239999983</v>
      </c>
    </row>
    <row r="323" spans="1:2" x14ac:dyDescent="0.3">
      <c r="A323" s="16" t="s">
        <v>409</v>
      </c>
      <c r="B323" s="17">
        <v>5399808.8039999995</v>
      </c>
    </row>
    <row r="324" spans="1:2" x14ac:dyDescent="0.3">
      <c r="A324" s="16" t="s">
        <v>377</v>
      </c>
      <c r="B324" s="17">
        <v>12767703.4</v>
      </c>
    </row>
    <row r="325" spans="1:2" x14ac:dyDescent="0.3">
      <c r="A325" s="16" t="s">
        <v>600</v>
      </c>
      <c r="B325" s="17">
        <v>13741788.060000001</v>
      </c>
    </row>
    <row r="326" spans="1:2" x14ac:dyDescent="0.3">
      <c r="A326" s="16" t="s">
        <v>617</v>
      </c>
      <c r="B326" s="17">
        <v>3325650.72</v>
      </c>
    </row>
    <row r="327" spans="1:2" x14ac:dyDescent="0.3">
      <c r="A327" s="16" t="s">
        <v>354</v>
      </c>
      <c r="B327" s="17">
        <v>7372563.1199999992</v>
      </c>
    </row>
    <row r="328" spans="1:2" x14ac:dyDescent="0.3">
      <c r="A328" s="16" t="s">
        <v>1025</v>
      </c>
      <c r="B328" s="17">
        <v>7831585.0999999996</v>
      </c>
    </row>
    <row r="329" spans="1:2" x14ac:dyDescent="0.3">
      <c r="A329" s="16" t="s">
        <v>92</v>
      </c>
      <c r="B329" s="17">
        <v>8131643.2079999996</v>
      </c>
    </row>
    <row r="330" spans="1:2" x14ac:dyDescent="0.3">
      <c r="A330" s="16" t="s">
        <v>286</v>
      </c>
      <c r="B330" s="17">
        <v>2237196.7799999998</v>
      </c>
    </row>
    <row r="331" spans="1:2" x14ac:dyDescent="0.3">
      <c r="A331" s="16" t="s">
        <v>895</v>
      </c>
      <c r="B331" s="17">
        <v>13065972.050000001</v>
      </c>
    </row>
    <row r="332" spans="1:2" x14ac:dyDescent="0.3">
      <c r="A332" s="16" t="s">
        <v>495</v>
      </c>
      <c r="B332" s="17">
        <v>11639994.443999998</v>
      </c>
    </row>
    <row r="333" spans="1:2" x14ac:dyDescent="0.3">
      <c r="A333" s="16" t="s">
        <v>1021</v>
      </c>
      <c r="B333" s="17">
        <v>15955443.75</v>
      </c>
    </row>
    <row r="334" spans="1:2" x14ac:dyDescent="0.3">
      <c r="A334" s="16" t="s">
        <v>94</v>
      </c>
      <c r="B334" s="17">
        <v>480544.4</v>
      </c>
    </row>
    <row r="335" spans="1:2" x14ac:dyDescent="0.3">
      <c r="A335" s="16" t="s">
        <v>504</v>
      </c>
      <c r="B335" s="17">
        <v>12000388.607999999</v>
      </c>
    </row>
    <row r="336" spans="1:2" x14ac:dyDescent="0.3">
      <c r="A336" s="16" t="s">
        <v>447</v>
      </c>
      <c r="B336" s="17">
        <v>13207913.316</v>
      </c>
    </row>
    <row r="337" spans="1:2" x14ac:dyDescent="0.3">
      <c r="A337" s="16" t="s">
        <v>829</v>
      </c>
      <c r="B337" s="17">
        <v>10698848.784</v>
      </c>
    </row>
    <row r="338" spans="1:2" x14ac:dyDescent="0.3">
      <c r="A338" s="16" t="s">
        <v>1079</v>
      </c>
      <c r="B338" s="17">
        <v>4871174.2560000001</v>
      </c>
    </row>
    <row r="339" spans="1:2" x14ac:dyDescent="0.3">
      <c r="A339" s="16" t="s">
        <v>493</v>
      </c>
      <c r="B339" s="17">
        <v>1466580.79</v>
      </c>
    </row>
    <row r="340" spans="1:2" x14ac:dyDescent="0.3">
      <c r="A340" s="16" t="s">
        <v>583</v>
      </c>
      <c r="B340" s="17">
        <v>15620106.960000001</v>
      </c>
    </row>
    <row r="341" spans="1:2" x14ac:dyDescent="0.3">
      <c r="A341" s="16" t="s">
        <v>876</v>
      </c>
      <c r="B341" s="17">
        <v>6482655.9720000001</v>
      </c>
    </row>
    <row r="342" spans="1:2" x14ac:dyDescent="0.3">
      <c r="A342" s="16" t="s">
        <v>538</v>
      </c>
      <c r="B342" s="17">
        <v>65666.483999999997</v>
      </c>
    </row>
    <row r="343" spans="1:2" x14ac:dyDescent="0.3">
      <c r="A343" s="16" t="s">
        <v>360</v>
      </c>
      <c r="B343" s="17">
        <v>2278801.2799999998</v>
      </c>
    </row>
    <row r="344" spans="1:2" x14ac:dyDescent="0.3">
      <c r="A344" s="16" t="s">
        <v>1007</v>
      </c>
      <c r="B344" s="17">
        <v>4088337.55</v>
      </c>
    </row>
    <row r="345" spans="1:2" x14ac:dyDescent="0.3">
      <c r="A345" s="16" t="s">
        <v>589</v>
      </c>
      <c r="B345" s="17">
        <v>1887465.0599999998</v>
      </c>
    </row>
    <row r="346" spans="1:2" x14ac:dyDescent="0.3">
      <c r="A346" s="16" t="s">
        <v>757</v>
      </c>
      <c r="B346" s="17">
        <v>8850756.1999999993</v>
      </c>
    </row>
    <row r="347" spans="1:2" x14ac:dyDescent="0.3">
      <c r="A347" s="16" t="s">
        <v>1028</v>
      </c>
      <c r="B347" s="17">
        <v>12976970.76</v>
      </c>
    </row>
    <row r="348" spans="1:2" x14ac:dyDescent="0.3">
      <c r="A348" s="16" t="s">
        <v>664</v>
      </c>
      <c r="B348" s="17">
        <v>1987624.0799999998</v>
      </c>
    </row>
    <row r="349" spans="1:2" x14ac:dyDescent="0.3">
      <c r="A349" s="16" t="s">
        <v>216</v>
      </c>
      <c r="B349" s="17">
        <v>10607068.550000001</v>
      </c>
    </row>
    <row r="350" spans="1:2" x14ac:dyDescent="0.3">
      <c r="A350" s="16" t="s">
        <v>991</v>
      </c>
      <c r="B350" s="17">
        <v>5704023.7800000003</v>
      </c>
    </row>
    <row r="351" spans="1:2" x14ac:dyDescent="0.3">
      <c r="A351" s="16" t="s">
        <v>799</v>
      </c>
      <c r="B351" s="17">
        <v>3550281.19</v>
      </c>
    </row>
    <row r="352" spans="1:2" x14ac:dyDescent="0.3">
      <c r="A352" s="16" t="s">
        <v>304</v>
      </c>
      <c r="B352" s="17">
        <v>10798310.952</v>
      </c>
    </row>
    <row r="353" spans="1:2" x14ac:dyDescent="0.3">
      <c r="A353" s="16" t="s">
        <v>773</v>
      </c>
      <c r="B353" s="17">
        <v>8259325.3079999993</v>
      </c>
    </row>
    <row r="354" spans="1:2" x14ac:dyDescent="0.3">
      <c r="A354" s="16" t="s">
        <v>679</v>
      </c>
      <c r="B354" s="17">
        <v>11494340.207999999</v>
      </c>
    </row>
    <row r="355" spans="1:2" x14ac:dyDescent="0.3">
      <c r="A355" s="16" t="s">
        <v>553</v>
      </c>
      <c r="B355" s="17">
        <v>12557302.055999998</v>
      </c>
    </row>
    <row r="356" spans="1:2" x14ac:dyDescent="0.3">
      <c r="A356" s="16" t="s">
        <v>685</v>
      </c>
      <c r="B356" s="17">
        <v>13839500.376</v>
      </c>
    </row>
    <row r="357" spans="1:2" x14ac:dyDescent="0.3">
      <c r="A357" s="16" t="s">
        <v>602</v>
      </c>
      <c r="B357" s="17">
        <v>16534918.619999999</v>
      </c>
    </row>
    <row r="358" spans="1:2" x14ac:dyDescent="0.3">
      <c r="A358" s="16" t="s">
        <v>566</v>
      </c>
      <c r="B358" s="17">
        <v>9030814.6000000015</v>
      </c>
    </row>
    <row r="359" spans="1:2" x14ac:dyDescent="0.3">
      <c r="A359" s="16" t="s">
        <v>771</v>
      </c>
      <c r="B359" s="17">
        <v>11301865.847999999</v>
      </c>
    </row>
    <row r="360" spans="1:2" x14ac:dyDescent="0.3">
      <c r="A360" s="16" t="s">
        <v>520</v>
      </c>
      <c r="B360" s="17">
        <v>803224.65599999984</v>
      </c>
    </row>
    <row r="361" spans="1:2" x14ac:dyDescent="0.3">
      <c r="A361" s="16" t="s">
        <v>560</v>
      </c>
      <c r="B361" s="17">
        <v>2546126.3879999998</v>
      </c>
    </row>
    <row r="362" spans="1:2" x14ac:dyDescent="0.3">
      <c r="A362" s="16" t="s">
        <v>579</v>
      </c>
      <c r="B362" s="17">
        <v>5314615.4879999999</v>
      </c>
    </row>
    <row r="363" spans="1:2" x14ac:dyDescent="0.3">
      <c r="A363" s="16" t="s">
        <v>1049</v>
      </c>
      <c r="B363" s="17">
        <v>7286933.1600000001</v>
      </c>
    </row>
    <row r="364" spans="1:2" x14ac:dyDescent="0.3">
      <c r="A364" s="16" t="s">
        <v>302</v>
      </c>
      <c r="B364" s="17">
        <v>852658.09199999983</v>
      </c>
    </row>
    <row r="365" spans="1:2" x14ac:dyDescent="0.3">
      <c r="A365" s="16" t="s">
        <v>661</v>
      </c>
      <c r="B365" s="17">
        <v>10597322.736</v>
      </c>
    </row>
    <row r="366" spans="1:2" x14ac:dyDescent="0.3">
      <c r="A366" s="16" t="s">
        <v>851</v>
      </c>
      <c r="B366" s="17">
        <v>4160992.2119999994</v>
      </c>
    </row>
    <row r="367" spans="1:2" x14ac:dyDescent="0.3">
      <c r="A367" s="16" t="s">
        <v>534</v>
      </c>
      <c r="B367" s="17">
        <v>328547.69999999995</v>
      </c>
    </row>
    <row r="368" spans="1:2" x14ac:dyDescent="0.3">
      <c r="A368" s="16" t="s">
        <v>701</v>
      </c>
      <c r="B368" s="17">
        <v>9537168.8880000003</v>
      </c>
    </row>
    <row r="369" spans="1:2" x14ac:dyDescent="0.3">
      <c r="A369" s="16" t="s">
        <v>202</v>
      </c>
      <c r="B369" s="17">
        <v>7286933.1600000001</v>
      </c>
    </row>
    <row r="370" spans="1:2" x14ac:dyDescent="0.3">
      <c r="A370" s="16" t="s">
        <v>792</v>
      </c>
      <c r="B370" s="17">
        <v>19363748.34</v>
      </c>
    </row>
    <row r="371" spans="1:2" x14ac:dyDescent="0.3">
      <c r="A371" s="16" t="s">
        <v>421</v>
      </c>
      <c r="B371" s="17">
        <v>8053192.8359999992</v>
      </c>
    </row>
    <row r="372" spans="1:2" x14ac:dyDescent="0.3">
      <c r="A372" s="16" t="s">
        <v>1061</v>
      </c>
      <c r="B372" s="17">
        <v>4078528.16</v>
      </c>
    </row>
    <row r="373" spans="1:2" x14ac:dyDescent="0.3">
      <c r="A373" s="16" t="s">
        <v>735</v>
      </c>
      <c r="B373" s="17">
        <v>6513438.6720000003</v>
      </c>
    </row>
    <row r="374" spans="1:2" x14ac:dyDescent="0.3">
      <c r="A374" s="16" t="s">
        <v>433</v>
      </c>
      <c r="B374" s="17">
        <v>12923407.100000001</v>
      </c>
    </row>
    <row r="375" spans="1:2" x14ac:dyDescent="0.3">
      <c r="A375" s="16" t="s">
        <v>389</v>
      </c>
      <c r="B375" s="17">
        <v>8976164.1840000004</v>
      </c>
    </row>
    <row r="376" spans="1:2" x14ac:dyDescent="0.3">
      <c r="A376" s="16" t="s">
        <v>645</v>
      </c>
      <c r="B376" s="17">
        <v>6280985.8799999999</v>
      </c>
    </row>
    <row r="377" spans="1:2" x14ac:dyDescent="0.3">
      <c r="A377" s="16" t="s">
        <v>234</v>
      </c>
      <c r="B377" s="17">
        <v>1131124.176</v>
      </c>
    </row>
    <row r="378" spans="1:2" x14ac:dyDescent="0.3">
      <c r="A378" s="16" t="s">
        <v>214</v>
      </c>
      <c r="B378" s="17">
        <v>8061594.8399999989</v>
      </c>
    </row>
    <row r="379" spans="1:2" x14ac:dyDescent="0.3">
      <c r="A379" s="16" t="s">
        <v>56</v>
      </c>
      <c r="B379" s="17">
        <v>3853718.91</v>
      </c>
    </row>
    <row r="380" spans="1:2" x14ac:dyDescent="0.3">
      <c r="A380" s="16" t="s">
        <v>893</v>
      </c>
      <c r="B380" s="17">
        <v>13440606.66</v>
      </c>
    </row>
    <row r="381" spans="1:2" x14ac:dyDescent="0.3">
      <c r="A381" s="16" t="s">
        <v>73</v>
      </c>
      <c r="B381" s="17">
        <v>5605333.2000000002</v>
      </c>
    </row>
    <row r="382" spans="1:2" x14ac:dyDescent="0.3">
      <c r="A382" s="16" t="s">
        <v>527</v>
      </c>
      <c r="B382" s="17">
        <v>7855836.7680000002</v>
      </c>
    </row>
    <row r="383" spans="1:2" x14ac:dyDescent="0.3">
      <c r="A383" s="16" t="s">
        <v>882</v>
      </c>
      <c r="B383" s="17">
        <v>7286933.1600000001</v>
      </c>
    </row>
    <row r="384" spans="1:2" x14ac:dyDescent="0.3">
      <c r="A384" s="16" t="s">
        <v>1015</v>
      </c>
      <c r="B384" s="17">
        <v>12565330.595999997</v>
      </c>
    </row>
    <row r="385" spans="1:2" x14ac:dyDescent="0.3">
      <c r="A385" s="16" t="s">
        <v>441</v>
      </c>
      <c r="B385" s="17">
        <v>10813953.852</v>
      </c>
    </row>
    <row r="386" spans="1:2" x14ac:dyDescent="0.3">
      <c r="A386" s="16" t="s">
        <v>880</v>
      </c>
      <c r="B386" s="17">
        <v>8372164.04</v>
      </c>
    </row>
    <row r="387" spans="1:2" x14ac:dyDescent="0.3">
      <c r="A387" s="16" t="s">
        <v>270</v>
      </c>
      <c r="B387" s="17">
        <v>1427834.7719999999</v>
      </c>
    </row>
    <row r="388" spans="1:2" x14ac:dyDescent="0.3">
      <c r="A388" s="16" t="s">
        <v>655</v>
      </c>
      <c r="B388" s="17">
        <v>6176166.0479999986</v>
      </c>
    </row>
    <row r="389" spans="1:2" x14ac:dyDescent="0.3">
      <c r="A389" s="16" t="s">
        <v>78</v>
      </c>
      <c r="B389" s="17">
        <v>8635891.4399999995</v>
      </c>
    </row>
    <row r="390" spans="1:2" x14ac:dyDescent="0.3">
      <c r="A390" s="16" t="s">
        <v>930</v>
      </c>
      <c r="B390" s="17">
        <v>243905.68799999997</v>
      </c>
    </row>
    <row r="391" spans="1:2" x14ac:dyDescent="0.3">
      <c r="A391" s="16" t="s">
        <v>913</v>
      </c>
      <c r="B391" s="17">
        <v>1783601.82</v>
      </c>
    </row>
    <row r="392" spans="1:2" x14ac:dyDescent="0.3">
      <c r="A392" s="16" t="s">
        <v>677</v>
      </c>
      <c r="B392" s="17">
        <v>7318073.9000000004</v>
      </c>
    </row>
    <row r="393" spans="1:2" x14ac:dyDescent="0.3">
      <c r="A393" s="16" t="s">
        <v>623</v>
      </c>
      <c r="B393" s="17">
        <v>1082048.1000000001</v>
      </c>
    </row>
    <row r="394" spans="1:2" x14ac:dyDescent="0.3">
      <c r="A394" s="16" t="s">
        <v>980</v>
      </c>
      <c r="B394" s="17">
        <v>4228024.3199999994</v>
      </c>
    </row>
    <row r="395" spans="1:2" x14ac:dyDescent="0.3">
      <c r="A395" s="16" t="s">
        <v>502</v>
      </c>
      <c r="B395" s="17">
        <v>2538722.88</v>
      </c>
    </row>
    <row r="396" spans="1:2" x14ac:dyDescent="0.3">
      <c r="A396" s="16" t="s">
        <v>1057</v>
      </c>
      <c r="B396" s="17">
        <v>7928176.4639999997</v>
      </c>
    </row>
    <row r="397" spans="1:2" x14ac:dyDescent="0.3">
      <c r="A397" s="16" t="s">
        <v>158</v>
      </c>
      <c r="B397" s="17">
        <v>5305202.1359999999</v>
      </c>
    </row>
    <row r="398" spans="1:2" x14ac:dyDescent="0.3">
      <c r="A398" s="16" t="s">
        <v>917</v>
      </c>
      <c r="B398" s="17">
        <v>12473814.99</v>
      </c>
    </row>
    <row r="399" spans="1:2" x14ac:dyDescent="0.3">
      <c r="A399" s="16" t="s">
        <v>327</v>
      </c>
      <c r="B399" s="17">
        <v>11744125.847999999</v>
      </c>
    </row>
    <row r="400" spans="1:2" x14ac:dyDescent="0.3">
      <c r="A400" s="16" t="s">
        <v>874</v>
      </c>
      <c r="B400" s="17">
        <v>10389994.523999998</v>
      </c>
    </row>
    <row r="401" spans="1:2" x14ac:dyDescent="0.3">
      <c r="A401" s="16" t="s">
        <v>90</v>
      </c>
      <c r="B401" s="17">
        <v>12248503.26</v>
      </c>
    </row>
    <row r="402" spans="1:2" x14ac:dyDescent="0.3">
      <c r="A402" s="16" t="s">
        <v>411</v>
      </c>
      <c r="B402" s="17">
        <v>6285113.1720000003</v>
      </c>
    </row>
    <row r="403" spans="1:2" x14ac:dyDescent="0.3">
      <c r="A403" s="16" t="s">
        <v>239</v>
      </c>
      <c r="B403" s="17">
        <v>9217897.8839999996</v>
      </c>
    </row>
    <row r="404" spans="1:2" x14ac:dyDescent="0.3">
      <c r="A404" s="16" t="s">
        <v>551</v>
      </c>
      <c r="B404" s="17">
        <v>867979.00800000003</v>
      </c>
    </row>
    <row r="405" spans="1:2" x14ac:dyDescent="0.3">
      <c r="A405" s="16" t="s">
        <v>515</v>
      </c>
      <c r="B405" s="17">
        <v>19102572.684</v>
      </c>
    </row>
    <row r="406" spans="1:2" x14ac:dyDescent="0.3">
      <c r="A406" s="16" t="s">
        <v>673</v>
      </c>
      <c r="B406" s="17">
        <v>8117633.6279999996</v>
      </c>
    </row>
    <row r="407" spans="1:2" x14ac:dyDescent="0.3">
      <c r="A407" s="16" t="s">
        <v>827</v>
      </c>
      <c r="B407" s="17">
        <v>10149182.316</v>
      </c>
    </row>
    <row r="408" spans="1:2" x14ac:dyDescent="0.3">
      <c r="A408" s="16" t="s">
        <v>321</v>
      </c>
      <c r="B408" s="17">
        <v>2491259.2000000002</v>
      </c>
    </row>
    <row r="409" spans="1:2" x14ac:dyDescent="0.3">
      <c r="A409" s="16" t="s">
        <v>211</v>
      </c>
      <c r="B409" s="17">
        <v>10138680.864</v>
      </c>
    </row>
    <row r="410" spans="1:2" x14ac:dyDescent="0.3">
      <c r="A410" s="16" t="s">
        <v>1059</v>
      </c>
      <c r="B410" s="17">
        <v>7966550.1239999989</v>
      </c>
    </row>
    <row r="411" spans="1:2" x14ac:dyDescent="0.3">
      <c r="A411" s="16" t="s">
        <v>1067</v>
      </c>
      <c r="B411" s="17">
        <v>7286933.1600000001</v>
      </c>
    </row>
    <row r="412" spans="1:2" x14ac:dyDescent="0.3">
      <c r="A412" s="16" t="s">
        <v>467</v>
      </c>
      <c r="B412" s="17">
        <v>12817708.955999998</v>
      </c>
    </row>
    <row r="413" spans="1:2" x14ac:dyDescent="0.3">
      <c r="A413" s="16" t="s">
        <v>381</v>
      </c>
      <c r="B413" s="17">
        <v>4158637.236</v>
      </c>
    </row>
    <row r="414" spans="1:2" x14ac:dyDescent="0.3">
      <c r="A414" s="16" t="s">
        <v>491</v>
      </c>
      <c r="B414" s="17">
        <v>12144888.600000001</v>
      </c>
    </row>
    <row r="415" spans="1:2" x14ac:dyDescent="0.3">
      <c r="A415" s="16" t="s">
        <v>525</v>
      </c>
      <c r="B415" s="17">
        <v>6775656</v>
      </c>
    </row>
    <row r="416" spans="1:2" x14ac:dyDescent="0.3">
      <c r="A416" s="16" t="s">
        <v>417</v>
      </c>
      <c r="B416" s="17">
        <v>4643626.1039999994</v>
      </c>
    </row>
    <row r="417" spans="1:2" x14ac:dyDescent="0.3">
      <c r="A417" s="16" t="s">
        <v>220</v>
      </c>
      <c r="B417" s="17">
        <v>7357073.1399999997</v>
      </c>
    </row>
    <row r="418" spans="1:2" x14ac:dyDescent="0.3">
      <c r="A418" s="16" t="s">
        <v>775</v>
      </c>
      <c r="B418" s="17">
        <v>9434853.3239999991</v>
      </c>
    </row>
    <row r="419" spans="1:2" x14ac:dyDescent="0.3">
      <c r="A419" s="16" t="s">
        <v>162</v>
      </c>
      <c r="B419" s="17">
        <v>7286933.1600000001</v>
      </c>
    </row>
    <row r="420" spans="1:2" x14ac:dyDescent="0.3">
      <c r="A420" s="16" t="s">
        <v>536</v>
      </c>
      <c r="B420" s="17">
        <v>3590025.1919999998</v>
      </c>
    </row>
    <row r="421" spans="1:2" x14ac:dyDescent="0.3">
      <c r="A421" s="16" t="s">
        <v>915</v>
      </c>
      <c r="B421" s="17">
        <v>3089106.0719999997</v>
      </c>
    </row>
    <row r="422" spans="1:2" x14ac:dyDescent="0.3">
      <c r="A422" s="16" t="s">
        <v>393</v>
      </c>
      <c r="B422" s="17">
        <v>10030575.359999999</v>
      </c>
    </row>
    <row r="423" spans="1:2" x14ac:dyDescent="0.3">
      <c r="A423" s="16" t="s">
        <v>419</v>
      </c>
      <c r="B423" s="17">
        <v>8187519.5999999996</v>
      </c>
    </row>
    <row r="424" spans="1:2" x14ac:dyDescent="0.3">
      <c r="A424" s="16" t="s">
        <v>522</v>
      </c>
      <c r="B424" s="17">
        <v>1872811.044</v>
      </c>
    </row>
    <row r="425" spans="1:2" x14ac:dyDescent="0.3">
      <c r="A425" s="16" t="s">
        <v>58</v>
      </c>
      <c r="B425" s="17">
        <v>256593.636</v>
      </c>
    </row>
    <row r="426" spans="1:2" x14ac:dyDescent="0.3">
      <c r="A426" s="16" t="s">
        <v>375</v>
      </c>
      <c r="B426" s="17">
        <v>21572015</v>
      </c>
    </row>
    <row r="427" spans="1:2" x14ac:dyDescent="0.3">
      <c r="A427" s="16" t="s">
        <v>315</v>
      </c>
      <c r="B427" s="17">
        <v>326782.96000000002</v>
      </c>
    </row>
    <row r="428" spans="1:2" x14ac:dyDescent="0.3">
      <c r="A428" s="16" t="s">
        <v>308</v>
      </c>
      <c r="B428" s="17">
        <v>3278337.6599999997</v>
      </c>
    </row>
    <row r="429" spans="1:2" x14ac:dyDescent="0.3">
      <c r="A429" s="16" t="s">
        <v>218</v>
      </c>
      <c r="B429" s="17">
        <v>12578916.168</v>
      </c>
    </row>
    <row r="430" spans="1:2" x14ac:dyDescent="0.3">
      <c r="A430" s="16" t="s">
        <v>48</v>
      </c>
      <c r="B430" s="17">
        <v>459478.11</v>
      </c>
    </row>
    <row r="431" spans="1:2" x14ac:dyDescent="0.3">
      <c r="A431" s="16" t="s">
        <v>1043</v>
      </c>
      <c r="B431" s="17">
        <v>243911.2</v>
      </c>
    </row>
    <row r="432" spans="1:2" x14ac:dyDescent="0.3">
      <c r="A432" s="16" t="s">
        <v>835</v>
      </c>
      <c r="B432" s="17">
        <v>4409502.5520000001</v>
      </c>
    </row>
    <row r="433" spans="1:2" x14ac:dyDescent="0.3">
      <c r="A433" s="16" t="s">
        <v>1075</v>
      </c>
      <c r="B433" s="17">
        <v>13451653.15</v>
      </c>
    </row>
    <row r="434" spans="1:2" x14ac:dyDescent="0.3">
      <c r="A434" s="16" t="s">
        <v>959</v>
      </c>
      <c r="B434" s="17">
        <v>3400963.9559999998</v>
      </c>
    </row>
    <row r="435" spans="1:2" x14ac:dyDescent="0.3">
      <c r="A435" s="16" t="s">
        <v>587</v>
      </c>
      <c r="B435" s="17">
        <v>12281669.712000001</v>
      </c>
    </row>
    <row r="436" spans="1:2" x14ac:dyDescent="0.3">
      <c r="A436" s="16" t="s">
        <v>928</v>
      </c>
      <c r="B436" s="17">
        <v>9264324.8880000003</v>
      </c>
    </row>
    <row r="437" spans="1:2" x14ac:dyDescent="0.3">
      <c r="A437" s="16" t="s">
        <v>717</v>
      </c>
      <c r="B437" s="17">
        <v>5745805.4159999993</v>
      </c>
    </row>
    <row r="438" spans="1:2" x14ac:dyDescent="0.3">
      <c r="A438" s="16" t="s">
        <v>464</v>
      </c>
      <c r="B438" s="17">
        <v>9862222.5</v>
      </c>
    </row>
    <row r="439" spans="1:2" x14ac:dyDescent="0.3">
      <c r="A439" s="16" t="s">
        <v>111</v>
      </c>
      <c r="B439" s="17">
        <v>5352376.067999999</v>
      </c>
    </row>
    <row r="440" spans="1:2" x14ac:dyDescent="0.3">
      <c r="A440" s="16" t="s">
        <v>627</v>
      </c>
      <c r="B440" s="17">
        <v>10752965.964</v>
      </c>
    </row>
    <row r="441" spans="1:2" x14ac:dyDescent="0.3">
      <c r="A441" s="16" t="s">
        <v>755</v>
      </c>
      <c r="B441" s="17">
        <v>5224644.8279999997</v>
      </c>
    </row>
    <row r="442" spans="1:2" x14ac:dyDescent="0.3">
      <c r="A442" s="16" t="s">
        <v>413</v>
      </c>
      <c r="B442" s="17">
        <v>3299056.8</v>
      </c>
    </row>
    <row r="443" spans="1:2" x14ac:dyDescent="0.3">
      <c r="A443" s="16" t="s">
        <v>795</v>
      </c>
      <c r="B443" s="17">
        <v>10596552.408</v>
      </c>
    </row>
    <row r="444" spans="1:2" x14ac:dyDescent="0.3">
      <c r="A444" s="16" t="s">
        <v>17</v>
      </c>
      <c r="B444" s="17">
        <v>1982654.388</v>
      </c>
    </row>
    <row r="445" spans="1:2" x14ac:dyDescent="0.3">
      <c r="A445" s="16" t="s">
        <v>570</v>
      </c>
      <c r="B445" s="17">
        <v>13532354.784</v>
      </c>
    </row>
    <row r="446" spans="1:2" x14ac:dyDescent="0.3">
      <c r="A446" s="16" t="s">
        <v>367</v>
      </c>
      <c r="B446" s="17">
        <v>16506303.68</v>
      </c>
    </row>
    <row r="447" spans="1:2" x14ac:dyDescent="0.3">
      <c r="A447" s="16" t="s">
        <v>790</v>
      </c>
      <c r="B447" s="17">
        <v>2686886.28</v>
      </c>
    </row>
    <row r="448" spans="1:2" x14ac:dyDescent="0.3">
      <c r="A448" s="16" t="s">
        <v>777</v>
      </c>
      <c r="B448" s="17">
        <v>3798794.1</v>
      </c>
    </row>
    <row r="449" spans="1:2" x14ac:dyDescent="0.3">
      <c r="A449" s="16" t="s">
        <v>348</v>
      </c>
      <c r="B449" s="17">
        <v>13037180.363999998</v>
      </c>
    </row>
    <row r="450" spans="1:2" x14ac:dyDescent="0.3">
      <c r="A450" s="16" t="s">
        <v>719</v>
      </c>
      <c r="B450" s="17">
        <v>4226816.88</v>
      </c>
    </row>
    <row r="451" spans="1:2" x14ac:dyDescent="0.3">
      <c r="A451" s="16" t="s">
        <v>608</v>
      </c>
      <c r="B451" s="17">
        <v>13210108.199999999</v>
      </c>
    </row>
    <row r="452" spans="1:2" x14ac:dyDescent="0.3">
      <c r="A452" s="16" t="s">
        <v>80</v>
      </c>
      <c r="B452" s="17">
        <v>8843492.2679999992</v>
      </c>
    </row>
    <row r="453" spans="1:2" x14ac:dyDescent="0.3">
      <c r="A453" s="16" t="s">
        <v>385</v>
      </c>
      <c r="B453" s="17">
        <v>4843200.2300000004</v>
      </c>
    </row>
    <row r="454" spans="1:2" x14ac:dyDescent="0.3">
      <c r="A454" s="16" t="s">
        <v>222</v>
      </c>
      <c r="B454" s="17">
        <v>7286933.1600000001</v>
      </c>
    </row>
    <row r="455" spans="1:2" x14ac:dyDescent="0.3">
      <c r="A455" s="16" t="s">
        <v>819</v>
      </c>
      <c r="B455" s="17">
        <v>12397422.023999998</v>
      </c>
    </row>
    <row r="456" spans="1:2" x14ac:dyDescent="0.3">
      <c r="A456" s="16" t="s">
        <v>831</v>
      </c>
      <c r="B456" s="17">
        <v>6941510.6399999997</v>
      </c>
    </row>
    <row r="457" spans="1:2" x14ac:dyDescent="0.3">
      <c r="A457" s="16" t="s">
        <v>823</v>
      </c>
      <c r="B457" s="17">
        <v>7710194.5599999996</v>
      </c>
    </row>
    <row r="458" spans="1:2" x14ac:dyDescent="0.3">
      <c r="A458" s="16" t="s">
        <v>128</v>
      </c>
      <c r="B458" s="17">
        <v>5893275.96</v>
      </c>
    </row>
    <row r="459" spans="1:2" x14ac:dyDescent="0.3">
      <c r="A459" s="16" t="s">
        <v>140</v>
      </c>
      <c r="B459" s="17">
        <v>2693170.96</v>
      </c>
    </row>
    <row r="460" spans="1:2" x14ac:dyDescent="0.3">
      <c r="A460" s="16" t="s">
        <v>1069</v>
      </c>
      <c r="B460" s="17">
        <v>11199808.18</v>
      </c>
    </row>
    <row r="461" spans="1:2" x14ac:dyDescent="0.3">
      <c r="A461" s="16" t="s">
        <v>969</v>
      </c>
      <c r="B461" s="17">
        <v>1130980.9679999999</v>
      </c>
    </row>
    <row r="462" spans="1:2" x14ac:dyDescent="0.3">
      <c r="A462" s="16" t="s">
        <v>943</v>
      </c>
      <c r="B462" s="17">
        <v>4041798.696</v>
      </c>
    </row>
    <row r="463" spans="1:2" x14ac:dyDescent="0.3">
      <c r="A463" s="16" t="s">
        <v>105</v>
      </c>
      <c r="B463" s="17">
        <v>7371354.743999999</v>
      </c>
    </row>
    <row r="464" spans="1:2" x14ac:dyDescent="0.3">
      <c r="A464" s="16" t="s">
        <v>332</v>
      </c>
      <c r="B464" s="17">
        <v>2634855.4440000001</v>
      </c>
    </row>
    <row r="465" spans="1:2" x14ac:dyDescent="0.3">
      <c r="A465" s="16" t="s">
        <v>265</v>
      </c>
      <c r="B465" s="17">
        <v>12711004.955999998</v>
      </c>
    </row>
    <row r="466" spans="1:2" x14ac:dyDescent="0.3">
      <c r="A466" s="16" t="s">
        <v>805</v>
      </c>
      <c r="B466" s="17">
        <v>3378006.2159999995</v>
      </c>
    </row>
    <row r="467" spans="1:2" x14ac:dyDescent="0.3">
      <c r="A467" s="16" t="s">
        <v>947</v>
      </c>
      <c r="B467" s="17">
        <v>2304596.69</v>
      </c>
    </row>
    <row r="468" spans="1:2" x14ac:dyDescent="0.3">
      <c r="A468" s="16" t="s">
        <v>166</v>
      </c>
      <c r="B468" s="17">
        <v>7496029.0079999994</v>
      </c>
    </row>
    <row r="469" spans="1:2" x14ac:dyDescent="0.3">
      <c r="A469" s="16" t="s">
        <v>1013</v>
      </c>
      <c r="B469" s="17">
        <v>13673322</v>
      </c>
    </row>
    <row r="470" spans="1:2" x14ac:dyDescent="0.3">
      <c r="A470" s="16" t="s">
        <v>268</v>
      </c>
      <c r="B470" s="17">
        <v>3090320.2</v>
      </c>
    </row>
    <row r="471" spans="1:2" x14ac:dyDescent="0.3">
      <c r="A471" s="16" t="s">
        <v>282</v>
      </c>
      <c r="B471" s="17">
        <v>7286933.1600000001</v>
      </c>
    </row>
    <row r="472" spans="1:2" x14ac:dyDescent="0.3">
      <c r="A472" s="16" t="s">
        <v>697</v>
      </c>
      <c r="B472" s="17">
        <v>10328574.204</v>
      </c>
    </row>
    <row r="473" spans="1:2" x14ac:dyDescent="0.3">
      <c r="A473" s="16" t="s">
        <v>469</v>
      </c>
      <c r="B473" s="17">
        <v>17958791.920000002</v>
      </c>
    </row>
    <row r="474" spans="1:2" x14ac:dyDescent="0.3">
      <c r="A474" s="16" t="s">
        <v>995</v>
      </c>
      <c r="B474" s="17">
        <v>6580812.8200000003</v>
      </c>
    </row>
    <row r="475" spans="1:2" x14ac:dyDescent="0.3">
      <c r="A475" s="16" t="s">
        <v>954</v>
      </c>
      <c r="B475" s="17">
        <v>12891323.483999999</v>
      </c>
    </row>
    <row r="476" spans="1:2" x14ac:dyDescent="0.3">
      <c r="A476" s="16" t="s">
        <v>855</v>
      </c>
      <c r="B476" s="17">
        <v>3247479.1439999999</v>
      </c>
    </row>
    <row r="477" spans="1:2" x14ac:dyDescent="0.3">
      <c r="A477" s="16" t="s">
        <v>423</v>
      </c>
      <c r="B477" s="17">
        <v>3689485.9559999998</v>
      </c>
    </row>
    <row r="478" spans="1:2" x14ac:dyDescent="0.3">
      <c r="A478" s="16" t="s">
        <v>336</v>
      </c>
      <c r="B478" s="17">
        <v>12249949.607999999</v>
      </c>
    </row>
    <row r="479" spans="1:2" x14ac:dyDescent="0.3">
      <c r="A479" s="16" t="s">
        <v>1023</v>
      </c>
      <c r="B479" s="17">
        <v>9726919.9560000002</v>
      </c>
    </row>
    <row r="480" spans="1:2" x14ac:dyDescent="0.3">
      <c r="A480" s="16" t="s">
        <v>926</v>
      </c>
      <c r="B480" s="17">
        <v>9859286.1600000001</v>
      </c>
    </row>
    <row r="481" spans="1:2" x14ac:dyDescent="0.3">
      <c r="A481" s="16" t="s">
        <v>1019</v>
      </c>
      <c r="B481" s="17">
        <v>3243945.2760000001</v>
      </c>
    </row>
    <row r="482" spans="1:2" x14ac:dyDescent="0.3">
      <c r="A482" s="16" t="s">
        <v>871</v>
      </c>
      <c r="B482" s="17">
        <v>6872206.5359999994</v>
      </c>
    </row>
    <row r="483" spans="1:2" x14ac:dyDescent="0.3">
      <c r="A483" s="16" t="s">
        <v>500</v>
      </c>
      <c r="B483" s="17">
        <v>7545550.8959999997</v>
      </c>
    </row>
    <row r="484" spans="1:2" x14ac:dyDescent="0.3">
      <c r="A484" s="16" t="s">
        <v>787</v>
      </c>
      <c r="B484" s="17">
        <v>2992224.9239999996</v>
      </c>
    </row>
    <row r="485" spans="1:2" x14ac:dyDescent="0.3">
      <c r="A485" s="16" t="s">
        <v>989</v>
      </c>
      <c r="B485" s="17">
        <v>467509.06799999997</v>
      </c>
    </row>
    <row r="486" spans="1:2" x14ac:dyDescent="0.3">
      <c r="A486" s="16" t="s">
        <v>657</v>
      </c>
      <c r="B486" s="17">
        <v>7588997.2079999996</v>
      </c>
    </row>
    <row r="487" spans="1:2" x14ac:dyDescent="0.3">
      <c r="A487" s="16" t="s">
        <v>45</v>
      </c>
      <c r="B487" s="17">
        <v>7286933.1600000001</v>
      </c>
    </row>
    <row r="488" spans="1:2" x14ac:dyDescent="0.3">
      <c r="A488" s="16" t="s">
        <v>967</v>
      </c>
      <c r="B488" s="17">
        <v>11165704.523999998</v>
      </c>
    </row>
    <row r="489" spans="1:2" x14ac:dyDescent="0.3">
      <c r="A489" s="16" t="s">
        <v>807</v>
      </c>
      <c r="B489" s="17">
        <v>7286933.1600000001</v>
      </c>
    </row>
    <row r="490" spans="1:2" x14ac:dyDescent="0.3">
      <c r="A490" s="16" t="s">
        <v>439</v>
      </c>
      <c r="B490" s="17">
        <v>12467357.136</v>
      </c>
    </row>
    <row r="491" spans="1:2" x14ac:dyDescent="0.3">
      <c r="A491" s="16" t="s">
        <v>1045</v>
      </c>
      <c r="B491" s="17">
        <v>3252280.72</v>
      </c>
    </row>
    <row r="492" spans="1:2" x14ac:dyDescent="0.3">
      <c r="A492" s="16" t="s">
        <v>261</v>
      </c>
      <c r="B492" s="17">
        <v>62817</v>
      </c>
    </row>
    <row r="493" spans="1:2" x14ac:dyDescent="0.3">
      <c r="A493" s="16" t="s">
        <v>845</v>
      </c>
      <c r="B493" s="17">
        <v>7778946.7079999996</v>
      </c>
    </row>
    <row r="494" spans="1:2" x14ac:dyDescent="0.3">
      <c r="A494" s="16" t="s">
        <v>675</v>
      </c>
      <c r="B494" s="17">
        <v>10851758.891999999</v>
      </c>
    </row>
    <row r="495" spans="1:2" x14ac:dyDescent="0.3">
      <c r="A495" s="16" t="s">
        <v>544</v>
      </c>
      <c r="B495" s="17">
        <v>5962196.9159999993</v>
      </c>
    </row>
    <row r="496" spans="1:2" x14ac:dyDescent="0.3">
      <c r="A496" s="16" t="s">
        <v>207</v>
      </c>
      <c r="B496" s="17">
        <v>7879530.2039999999</v>
      </c>
    </row>
    <row r="497" spans="1:2" x14ac:dyDescent="0.3">
      <c r="A497" s="16" t="s">
        <v>745</v>
      </c>
      <c r="B497" s="17">
        <v>3597572.1599999997</v>
      </c>
    </row>
    <row r="498" spans="1:2" x14ac:dyDescent="0.3">
      <c r="A498" s="16" t="s">
        <v>847</v>
      </c>
      <c r="B498" s="17">
        <v>9998800.3499999996</v>
      </c>
    </row>
    <row r="499" spans="1:2" x14ac:dyDescent="0.3">
      <c r="A499" s="16" t="s">
        <v>816</v>
      </c>
      <c r="B499" s="17">
        <v>6872562.7800000003</v>
      </c>
    </row>
    <row r="500" spans="1:2" x14ac:dyDescent="0.3">
      <c r="A500" s="16" t="s">
        <v>145</v>
      </c>
      <c r="B500" s="17">
        <v>11914760.988</v>
      </c>
    </row>
    <row r="501" spans="1:2" x14ac:dyDescent="0.3">
      <c r="A501" s="16" t="s">
        <v>625</v>
      </c>
      <c r="B501" s="17">
        <v>12290842.979999999</v>
      </c>
    </row>
    <row r="502" spans="1:2" x14ac:dyDescent="0.3">
      <c r="A502" s="16" t="s">
        <v>160</v>
      </c>
      <c r="B502" s="17">
        <v>13432877.639999999</v>
      </c>
    </row>
    <row r="503" spans="1:2" x14ac:dyDescent="0.3">
      <c r="A503" s="16" t="s">
        <v>693</v>
      </c>
      <c r="B503" s="17">
        <v>8316561.2399999993</v>
      </c>
    </row>
    <row r="504" spans="1:2" x14ac:dyDescent="0.3">
      <c r="A504" s="16" t="s">
        <v>557</v>
      </c>
      <c r="B504" s="17">
        <v>6640232.9759999998</v>
      </c>
    </row>
    <row r="505" spans="1:2" x14ac:dyDescent="0.3">
      <c r="A505" s="16" t="s">
        <v>284</v>
      </c>
      <c r="B505" s="17">
        <v>13730383.367999999</v>
      </c>
    </row>
    <row r="506" spans="1:2" x14ac:dyDescent="0.3">
      <c r="A506" s="16" t="s">
        <v>761</v>
      </c>
      <c r="B506" s="17">
        <v>745768.29599999997</v>
      </c>
    </row>
    <row r="507" spans="1:2" x14ac:dyDescent="0.3">
      <c r="A507" s="16" t="s">
        <v>272</v>
      </c>
      <c r="B507" s="17">
        <v>4652993.5920000002</v>
      </c>
    </row>
    <row r="508" spans="1:2" x14ac:dyDescent="0.3">
      <c r="A508" s="16" t="s">
        <v>280</v>
      </c>
      <c r="B508" s="17">
        <v>13542673.715999998</v>
      </c>
    </row>
    <row r="509" spans="1:2" x14ac:dyDescent="0.3">
      <c r="A509" s="16" t="s">
        <v>635</v>
      </c>
      <c r="B509" s="17">
        <v>3089935.86</v>
      </c>
    </row>
    <row r="510" spans="1:2" x14ac:dyDescent="0.3">
      <c r="A510" s="16" t="s">
        <v>615</v>
      </c>
      <c r="B510" s="17">
        <v>5704665</v>
      </c>
    </row>
    <row r="511" spans="1:2" x14ac:dyDescent="0.3">
      <c r="A511" s="16" t="s">
        <v>965</v>
      </c>
      <c r="B511" s="17">
        <v>4991459.148</v>
      </c>
    </row>
    <row r="512" spans="1:2" x14ac:dyDescent="0.3">
      <c r="A512" s="16" t="s">
        <v>121</v>
      </c>
      <c r="B512" s="17">
        <v>7286933.1600000001</v>
      </c>
    </row>
    <row r="513" spans="1:2" x14ac:dyDescent="0.3">
      <c r="A513" s="16" t="s">
        <v>133</v>
      </c>
      <c r="B513" s="17">
        <v>2881268.2079999996</v>
      </c>
    </row>
    <row r="514" spans="1:2" x14ac:dyDescent="0.3">
      <c r="A514" s="16" t="s">
        <v>229</v>
      </c>
      <c r="B514" s="17">
        <v>613028.98800000001</v>
      </c>
    </row>
    <row r="515" spans="1:2" x14ac:dyDescent="0.3">
      <c r="A515" s="16" t="s">
        <v>274</v>
      </c>
      <c r="B515" s="17">
        <v>6644896.5959999999</v>
      </c>
    </row>
    <row r="516" spans="1:2" x14ac:dyDescent="0.3">
      <c r="A516" s="16" t="s">
        <v>941</v>
      </c>
      <c r="B516" s="17">
        <v>7532626.6079999991</v>
      </c>
    </row>
    <row r="517" spans="1:2" x14ac:dyDescent="0.3">
      <c r="A517" s="16" t="s">
        <v>460</v>
      </c>
      <c r="B517" s="17">
        <v>6823110.3099999996</v>
      </c>
    </row>
    <row r="518" spans="1:2" x14ac:dyDescent="0.3">
      <c r="A518" s="16" t="s">
        <v>651</v>
      </c>
      <c r="B518" s="17">
        <v>3453740.784</v>
      </c>
    </row>
    <row r="519" spans="1:2" x14ac:dyDescent="0.3">
      <c r="A519" s="16" t="s">
        <v>362</v>
      </c>
      <c r="B519" s="17">
        <v>7090747.5600000005</v>
      </c>
    </row>
    <row r="520" spans="1:2" x14ac:dyDescent="0.3">
      <c r="A520" s="16" t="s">
        <v>96</v>
      </c>
      <c r="B520" s="17">
        <v>7286933.1600000001</v>
      </c>
    </row>
    <row r="521" spans="1:2" x14ac:dyDescent="0.3">
      <c r="A521" s="16" t="s">
        <v>358</v>
      </c>
      <c r="B521" s="17">
        <v>7318073.9000000004</v>
      </c>
    </row>
    <row r="522" spans="1:2" x14ac:dyDescent="0.3">
      <c r="A522" s="16" t="s">
        <v>637</v>
      </c>
      <c r="B522" s="17">
        <v>8803340.0399999991</v>
      </c>
    </row>
    <row r="523" spans="1:2" x14ac:dyDescent="0.3">
      <c r="A523" s="16" t="s">
        <v>705</v>
      </c>
      <c r="B523" s="17">
        <v>680555.772</v>
      </c>
    </row>
    <row r="524" spans="1:2" x14ac:dyDescent="0.3">
      <c r="A524" s="16" t="s">
        <v>258</v>
      </c>
      <c r="B524" s="17">
        <v>3377321.0639999998</v>
      </c>
    </row>
    <row r="525" spans="1:2" x14ac:dyDescent="0.3">
      <c r="A525" s="16" t="s">
        <v>1037</v>
      </c>
      <c r="B525" s="17">
        <v>9247854.095999999</v>
      </c>
    </row>
    <row r="526" spans="1:2" x14ac:dyDescent="0.3">
      <c r="A526" s="16" t="s">
        <v>212</v>
      </c>
      <c r="B526" s="17">
        <v>4057228.6559999995</v>
      </c>
    </row>
    <row r="527" spans="1:2" x14ac:dyDescent="0.3">
      <c r="A527" s="16" t="s">
        <v>581</v>
      </c>
      <c r="B527" s="17">
        <v>1148231.916</v>
      </c>
    </row>
    <row r="528" spans="1:2" x14ac:dyDescent="0.3">
      <c r="A528" s="16" t="s">
        <v>531</v>
      </c>
      <c r="B528" s="17">
        <v>5049848.25</v>
      </c>
    </row>
    <row r="529" spans="1:2" x14ac:dyDescent="0.3">
      <c r="A529" s="16" t="s">
        <v>709</v>
      </c>
      <c r="B529" s="17">
        <v>9040503.8880000003</v>
      </c>
    </row>
    <row r="530" spans="1:2" x14ac:dyDescent="0.3">
      <c r="A530" s="16" t="s">
        <v>857</v>
      </c>
      <c r="B530" s="17">
        <v>8009911.7279999992</v>
      </c>
    </row>
    <row r="531" spans="1:2" x14ac:dyDescent="0.3">
      <c r="A531" s="16" t="s">
        <v>631</v>
      </c>
      <c r="B531" s="17">
        <v>9277127.027999999</v>
      </c>
    </row>
    <row r="532" spans="1:2" x14ac:dyDescent="0.3">
      <c r="A532" s="16" t="s">
        <v>669</v>
      </c>
      <c r="B532" s="17">
        <v>12868170.587999998</v>
      </c>
    </row>
    <row r="533" spans="1:2" x14ac:dyDescent="0.3">
      <c r="A533" s="16" t="s">
        <v>573</v>
      </c>
      <c r="B533" s="17">
        <v>12516866.387999998</v>
      </c>
    </row>
    <row r="534" spans="1:2" x14ac:dyDescent="0.3">
      <c r="A534" s="16" t="s">
        <v>997</v>
      </c>
      <c r="B534" s="17">
        <v>2718207.07</v>
      </c>
    </row>
    <row r="535" spans="1:2" x14ac:dyDescent="0.3">
      <c r="A535" s="16" t="s">
        <v>767</v>
      </c>
      <c r="B535" s="17">
        <v>1043588.9879999999</v>
      </c>
    </row>
    <row r="536" spans="1:2" x14ac:dyDescent="0.3">
      <c r="A536" s="16" t="s">
        <v>513</v>
      </c>
      <c r="B536" s="17">
        <v>6875106.2640000004</v>
      </c>
    </row>
    <row r="537" spans="1:2" x14ac:dyDescent="0.3">
      <c r="A537" s="16" t="s">
        <v>759</v>
      </c>
      <c r="B537" s="17">
        <v>11648856.023999998</v>
      </c>
    </row>
    <row r="538" spans="1:2" x14ac:dyDescent="0.3">
      <c r="A538" s="16" t="s">
        <v>849</v>
      </c>
      <c r="B538" s="17">
        <v>10115519.543999998</v>
      </c>
    </row>
    <row r="539" spans="1:2" x14ac:dyDescent="0.3">
      <c r="A539" s="16" t="s">
        <v>1087</v>
      </c>
      <c r="B539" s="17">
        <v>12849738.390000001</v>
      </c>
    </row>
    <row r="540" spans="1:2" x14ac:dyDescent="0.3">
      <c r="A540" s="16" t="s">
        <v>1088</v>
      </c>
      <c r="B540" s="17">
        <v>2558174.73</v>
      </c>
    </row>
    <row r="541" spans="1:2" x14ac:dyDescent="0.3">
      <c r="A541" s="16" t="s">
        <v>427</v>
      </c>
      <c r="B541" s="17">
        <v>11629112.52</v>
      </c>
    </row>
    <row r="542" spans="1:2" x14ac:dyDescent="0.3">
      <c r="A542" s="16" t="s">
        <v>86</v>
      </c>
      <c r="B542" s="17">
        <v>3745234.1159999995</v>
      </c>
    </row>
    <row r="543" spans="1:2" x14ac:dyDescent="0.3">
      <c r="A543" s="16" t="s">
        <v>695</v>
      </c>
      <c r="B543" s="17">
        <v>7286933.1600000001</v>
      </c>
    </row>
    <row r="544" spans="1:2" x14ac:dyDescent="0.3">
      <c r="A544" s="16" t="s">
        <v>797</v>
      </c>
      <c r="B544" s="17">
        <v>15639384.689999999</v>
      </c>
    </row>
    <row r="545" spans="1:2" x14ac:dyDescent="0.3">
      <c r="A545" s="16" t="s">
        <v>186</v>
      </c>
      <c r="B545" s="17">
        <v>1008749.04</v>
      </c>
    </row>
    <row r="546" spans="1:2" x14ac:dyDescent="0.3">
      <c r="A546" s="16" t="s">
        <v>961</v>
      </c>
      <c r="B546" s="17">
        <v>8710620.0479999986</v>
      </c>
    </row>
    <row r="547" spans="1:2" x14ac:dyDescent="0.3">
      <c r="A547" s="16" t="s">
        <v>935</v>
      </c>
      <c r="B547" s="17">
        <v>257843.66399999996</v>
      </c>
    </row>
    <row r="548" spans="1:2" x14ac:dyDescent="0.3">
      <c r="A548" s="16" t="s">
        <v>723</v>
      </c>
      <c r="B548" s="17">
        <v>4201847.5199999996</v>
      </c>
    </row>
    <row r="549" spans="1:2" x14ac:dyDescent="0.3">
      <c r="A549" s="16" t="s">
        <v>109</v>
      </c>
      <c r="B549" s="17">
        <v>10880744.471999999</v>
      </c>
    </row>
    <row r="550" spans="1:2" x14ac:dyDescent="0.3">
      <c r="A550" s="16" t="s">
        <v>1085</v>
      </c>
      <c r="B550" s="17">
        <v>291049618.67599994</v>
      </c>
    </row>
    <row r="551" spans="1:2" x14ac:dyDescent="0.3">
      <c r="A551" s="16" t="s">
        <v>729</v>
      </c>
      <c r="B551" s="17">
        <v>12043212.48</v>
      </c>
    </row>
    <row r="552" spans="1:2" x14ac:dyDescent="0.3">
      <c r="A552" s="16" t="s">
        <v>1011</v>
      </c>
      <c r="B552" s="17">
        <v>7286933.1600000001</v>
      </c>
    </row>
    <row r="553" spans="1:2" x14ac:dyDescent="0.3">
      <c r="A553" s="16" t="s">
        <v>612</v>
      </c>
      <c r="B553" s="17">
        <v>10102652.819999998</v>
      </c>
    </row>
    <row r="554" spans="1:2" x14ac:dyDescent="0.3">
      <c r="A554" s="16" t="s">
        <v>297</v>
      </c>
      <c r="B554" s="17">
        <v>4845673.84</v>
      </c>
    </row>
    <row r="555" spans="1:2" x14ac:dyDescent="0.3">
      <c r="A555" s="16" t="s">
        <v>763</v>
      </c>
      <c r="B555" s="17">
        <v>5310012.7079999996</v>
      </c>
    </row>
    <row r="556" spans="1:2" x14ac:dyDescent="0.3">
      <c r="A556" s="16" t="s">
        <v>690</v>
      </c>
      <c r="B556" s="17">
        <v>3880122.48</v>
      </c>
    </row>
    <row r="557" spans="1:2" x14ac:dyDescent="0.3">
      <c r="A557" s="16" t="s">
        <v>175</v>
      </c>
      <c r="B557" s="17">
        <v>19212038.66</v>
      </c>
    </row>
    <row r="558" spans="1:2" x14ac:dyDescent="0.3">
      <c r="A558" s="16" t="s">
        <v>356</v>
      </c>
      <c r="B558" s="17">
        <v>12487801.247999998</v>
      </c>
    </row>
    <row r="559" spans="1:2" x14ac:dyDescent="0.3">
      <c r="A559" s="16" t="s">
        <v>621</v>
      </c>
      <c r="B559" s="17">
        <v>7286933.1600000001</v>
      </c>
    </row>
    <row r="560" spans="1:2" x14ac:dyDescent="0.3">
      <c r="A560" s="16" t="s">
        <v>197</v>
      </c>
      <c r="B560" s="17">
        <v>9903714.4439999983</v>
      </c>
    </row>
    <row r="561" spans="1:2" x14ac:dyDescent="0.3">
      <c r="A561" s="16" t="s">
        <v>193</v>
      </c>
      <c r="B561" s="17">
        <v>13791349.728</v>
      </c>
    </row>
    <row r="562" spans="1:2" x14ac:dyDescent="0.3">
      <c r="A562" s="16" t="s">
        <v>663</v>
      </c>
      <c r="B562" s="17">
        <v>10901173.139999999</v>
      </c>
    </row>
    <row r="563" spans="1:2" x14ac:dyDescent="0.3">
      <c r="A563" s="16" t="s">
        <v>1055</v>
      </c>
      <c r="B563" s="17">
        <v>4218244.5239999993</v>
      </c>
    </row>
    <row r="564" spans="1:2" x14ac:dyDescent="0.3">
      <c r="A564" s="16" t="s">
        <v>294</v>
      </c>
      <c r="B564" s="17">
        <v>9141740.7119999994</v>
      </c>
    </row>
    <row r="565" spans="1:2" x14ac:dyDescent="0.3">
      <c r="A565" s="16" t="s">
        <v>1004</v>
      </c>
      <c r="B565" s="17">
        <v>11872049.435999999</v>
      </c>
    </row>
    <row r="566" spans="1:2" x14ac:dyDescent="0.3">
      <c r="A566" s="16" t="s">
        <v>598</v>
      </c>
      <c r="B566" s="17">
        <v>425044.95</v>
      </c>
    </row>
    <row r="567" spans="1:2" x14ac:dyDescent="0.3">
      <c r="A567" s="16" t="s">
        <v>546</v>
      </c>
      <c r="B567" s="17">
        <v>9840414.6359999981</v>
      </c>
    </row>
    <row r="568" spans="1:2" x14ac:dyDescent="0.3">
      <c r="A568" s="16" t="s">
        <v>225</v>
      </c>
      <c r="B568" s="17">
        <v>10859133.635999998</v>
      </c>
    </row>
    <row r="569" spans="1:2" x14ac:dyDescent="0.3">
      <c r="A569" s="16" t="s">
        <v>100</v>
      </c>
      <c r="B569" s="17">
        <v>1079899.1599999999</v>
      </c>
    </row>
    <row r="570" spans="1:2" x14ac:dyDescent="0.3">
      <c r="A570" s="16" t="s">
        <v>1077</v>
      </c>
      <c r="B570" s="17">
        <v>143934.54</v>
      </c>
    </row>
    <row r="571" spans="1:2" x14ac:dyDescent="0.3">
      <c r="A571" s="16" t="s">
        <v>1098</v>
      </c>
      <c r="B571" s="17"/>
    </row>
    <row r="572" spans="1:2" x14ac:dyDescent="0.3">
      <c r="A572" s="16" t="s">
        <v>1093</v>
      </c>
      <c r="B572" s="17">
        <v>4022035960.507997</v>
      </c>
    </row>
    <row r="577" spans="1:2" x14ac:dyDescent="0.3">
      <c r="A577" s="15" t="s">
        <v>1092</v>
      </c>
      <c r="B577" t="s">
        <v>1095</v>
      </c>
    </row>
    <row r="578" spans="1:2" x14ac:dyDescent="0.3">
      <c r="A578" s="16" t="s">
        <v>29</v>
      </c>
      <c r="B578" s="17">
        <v>134386.55384615384</v>
      </c>
    </row>
    <row r="579" spans="1:2" x14ac:dyDescent="0.3">
      <c r="A579" s="16" t="s">
        <v>59</v>
      </c>
      <c r="B579" s="17">
        <v>150674.52440677967</v>
      </c>
    </row>
    <row r="580" spans="1:2" x14ac:dyDescent="0.3">
      <c r="A580" s="16" t="s">
        <v>1089</v>
      </c>
      <c r="B580" s="17">
        <v>157109.94508771924</v>
      </c>
    </row>
    <row r="581" spans="1:2" x14ac:dyDescent="0.3">
      <c r="A581" s="16" t="s">
        <v>19</v>
      </c>
      <c r="B581" s="17">
        <v>168806.10370786514</v>
      </c>
    </row>
    <row r="582" spans="1:2" x14ac:dyDescent="0.3">
      <c r="A582" s="16" t="s">
        <v>50</v>
      </c>
      <c r="B582" s="17">
        <v>148867.81805970141</v>
      </c>
    </row>
    <row r="583" spans="1:2" x14ac:dyDescent="0.3">
      <c r="A583" s="16" t="s">
        <v>76</v>
      </c>
      <c r="B583" s="17">
        <v>153068.32380281694</v>
      </c>
    </row>
    <row r="584" spans="1:2" x14ac:dyDescent="0.3">
      <c r="A584" s="16" t="s">
        <v>98</v>
      </c>
      <c r="B584" s="17">
        <v>173245.04228070169</v>
      </c>
    </row>
    <row r="585" spans="1:2" x14ac:dyDescent="0.3">
      <c r="A585" s="16" t="s">
        <v>25</v>
      </c>
      <c r="B585" s="17">
        <v>156660.46305882357</v>
      </c>
    </row>
    <row r="586" spans="1:2" x14ac:dyDescent="0.3">
      <c r="A586" s="16" t="s">
        <v>1098</v>
      </c>
      <c r="B586" s="17"/>
    </row>
    <row r="587" spans="1:2" x14ac:dyDescent="0.3">
      <c r="A587" s="16" t="s">
        <v>1093</v>
      </c>
      <c r="B587" s="17">
        <v>155703.69929090934</v>
      </c>
    </row>
    <row r="592" spans="1:2" x14ac:dyDescent="0.3">
      <c r="A592" s="15" t="s">
        <v>1092</v>
      </c>
      <c r="B592" t="s">
        <v>1096</v>
      </c>
    </row>
    <row r="593" spans="1:2" x14ac:dyDescent="0.3">
      <c r="A593" s="16" t="s">
        <v>29</v>
      </c>
      <c r="B593" s="17">
        <v>2875.0000000000009</v>
      </c>
    </row>
    <row r="594" spans="1:2" x14ac:dyDescent="0.3">
      <c r="A594" s="16" t="s">
        <v>59</v>
      </c>
      <c r="B594" s="17">
        <v>2768.2000000000016</v>
      </c>
    </row>
    <row r="595" spans="1:2" x14ac:dyDescent="0.3">
      <c r="A595" s="16" t="s">
        <v>1089</v>
      </c>
      <c r="B595" s="17">
        <v>2784.6000000000004</v>
      </c>
    </row>
    <row r="596" spans="1:2" x14ac:dyDescent="0.3">
      <c r="A596" s="16" t="s">
        <v>19</v>
      </c>
      <c r="B596" s="17">
        <v>4351.6000000000049</v>
      </c>
    </row>
    <row r="597" spans="1:2" x14ac:dyDescent="0.3">
      <c r="A597" s="16" t="s">
        <v>50</v>
      </c>
      <c r="B597" s="17">
        <v>2970.2000000000016</v>
      </c>
    </row>
    <row r="598" spans="1:2" x14ac:dyDescent="0.3">
      <c r="A598" s="16" t="s">
        <v>76</v>
      </c>
      <c r="B598" s="17">
        <v>3102.6000000000022</v>
      </c>
    </row>
    <row r="599" spans="1:2" x14ac:dyDescent="0.3">
      <c r="A599" s="16" t="s">
        <v>98</v>
      </c>
      <c r="B599" s="17">
        <v>2843.2000000000007</v>
      </c>
    </row>
    <row r="600" spans="1:2" x14ac:dyDescent="0.3">
      <c r="A600" s="16" t="s">
        <v>25</v>
      </c>
      <c r="B600" s="17">
        <v>4053.6000000000049</v>
      </c>
    </row>
    <row r="601" spans="1:2" x14ac:dyDescent="0.3">
      <c r="A601" s="16" t="s">
        <v>1098</v>
      </c>
      <c r="B601" s="17"/>
    </row>
    <row r="602" spans="1:2" x14ac:dyDescent="0.3">
      <c r="A602" s="16" t="s">
        <v>1093</v>
      </c>
      <c r="B602" s="17">
        <v>25749.000000000018</v>
      </c>
    </row>
    <row r="607" spans="1:2" x14ac:dyDescent="0.3">
      <c r="A607" s="15" t="s">
        <v>1092</v>
      </c>
      <c r="B607" t="s">
        <v>1097</v>
      </c>
    </row>
    <row r="608" spans="1:2" x14ac:dyDescent="0.3">
      <c r="A608" s="16" t="s">
        <v>49</v>
      </c>
      <c r="B608" s="17">
        <v>6031512.4164137943</v>
      </c>
    </row>
    <row r="609" spans="1:2" x14ac:dyDescent="0.3">
      <c r="A609" s="16" t="s">
        <v>18</v>
      </c>
      <c r="B609" s="17">
        <v>6460976.9649999989</v>
      </c>
    </row>
    <row r="610" spans="1:2" x14ac:dyDescent="0.3">
      <c r="A610" s="16" t="s">
        <v>62</v>
      </c>
      <c r="B610" s="17">
        <v>7220144.5178461531</v>
      </c>
    </row>
    <row r="611" spans="1:2" x14ac:dyDescent="0.3">
      <c r="A611" s="16" t="s">
        <v>115</v>
      </c>
      <c r="B611" s="17">
        <v>7695543.9441599986</v>
      </c>
    </row>
    <row r="612" spans="1:2" x14ac:dyDescent="0.3">
      <c r="A612" s="16" t="s">
        <v>143</v>
      </c>
      <c r="B612" s="17">
        <v>4954765.9078260856</v>
      </c>
    </row>
    <row r="613" spans="1:2" x14ac:dyDescent="0.3">
      <c r="A613" s="16" t="s">
        <v>230</v>
      </c>
      <c r="B613" s="17">
        <v>7340944.9554117648</v>
      </c>
    </row>
    <row r="614" spans="1:2" x14ac:dyDescent="0.3">
      <c r="A614" s="16" t="s">
        <v>22</v>
      </c>
      <c r="B614" s="17">
        <v>7414756.4107692316</v>
      </c>
    </row>
    <row r="615" spans="1:2" x14ac:dyDescent="0.3">
      <c r="A615" s="16" t="s">
        <v>83</v>
      </c>
      <c r="B615" s="17">
        <v>6874457.7108888878</v>
      </c>
    </row>
    <row r="616" spans="1:2" x14ac:dyDescent="0.3">
      <c r="A616" s="16" t="s">
        <v>57</v>
      </c>
      <c r="B616" s="17">
        <v>7070122.1466451604</v>
      </c>
    </row>
    <row r="617" spans="1:2" x14ac:dyDescent="0.3">
      <c r="A617" s="16" t="s">
        <v>36</v>
      </c>
      <c r="B617" s="17">
        <v>7277400.2891578954</v>
      </c>
    </row>
    <row r="618" spans="1:2" x14ac:dyDescent="0.3">
      <c r="A618" s="16" t="s">
        <v>93</v>
      </c>
      <c r="B618" s="17">
        <v>8766918.4960000012</v>
      </c>
    </row>
    <row r="619" spans="1:2" x14ac:dyDescent="0.3">
      <c r="A619" s="16" t="s">
        <v>39</v>
      </c>
      <c r="B619" s="17">
        <v>8293315.760545454</v>
      </c>
    </row>
    <row r="620" spans="1:2" x14ac:dyDescent="0.3">
      <c r="A620" s="16" t="s">
        <v>66</v>
      </c>
      <c r="B620" s="17">
        <v>8383507.7465599999</v>
      </c>
    </row>
    <row r="621" spans="1:2" x14ac:dyDescent="0.3">
      <c r="A621" s="16" t="s">
        <v>13</v>
      </c>
      <c r="B621" s="17">
        <v>7426500.6264347797</v>
      </c>
    </row>
    <row r="622" spans="1:2" x14ac:dyDescent="0.3">
      <c r="A622" s="16" t="s">
        <v>46</v>
      </c>
      <c r="B622" s="17">
        <v>6806601.4765806459</v>
      </c>
    </row>
    <row r="623" spans="1:2" x14ac:dyDescent="0.3">
      <c r="A623" s="16" t="s">
        <v>119</v>
      </c>
      <c r="B623" s="17">
        <v>8910206.7986666653</v>
      </c>
    </row>
    <row r="624" spans="1:2" x14ac:dyDescent="0.3">
      <c r="A624" s="16" t="s">
        <v>1086</v>
      </c>
      <c r="B624" s="17">
        <v>8311724.1832800005</v>
      </c>
    </row>
    <row r="625" spans="1:2" x14ac:dyDescent="0.3">
      <c r="A625" s="16" t="s">
        <v>87</v>
      </c>
      <c r="B625" s="17">
        <v>6252556.552083333</v>
      </c>
    </row>
    <row r="626" spans="1:2" x14ac:dyDescent="0.3">
      <c r="A626" s="16" t="s">
        <v>33</v>
      </c>
      <c r="B626" s="17">
        <v>7396888.4985806439</v>
      </c>
    </row>
    <row r="627" spans="1:2" x14ac:dyDescent="0.3">
      <c r="A627" s="16" t="s">
        <v>97</v>
      </c>
      <c r="B627" s="17">
        <v>7740087.6809999989</v>
      </c>
    </row>
    <row r="628" spans="1:2" x14ac:dyDescent="0.3">
      <c r="A628" s="16" t="s">
        <v>1098</v>
      </c>
      <c r="B628" s="17"/>
    </row>
    <row r="629" spans="1:2" x14ac:dyDescent="0.3">
      <c r="A629" s="16" t="s">
        <v>1093</v>
      </c>
      <c r="B629" s="17">
        <v>7312792.6554690963</v>
      </c>
    </row>
    <row r="635" spans="1:2" x14ac:dyDescent="0.3">
      <c r="A635" s="15" t="s">
        <v>1092</v>
      </c>
      <c r="B635" t="s">
        <v>1095</v>
      </c>
    </row>
    <row r="636" spans="1:2" x14ac:dyDescent="0.3">
      <c r="A636" s="16" t="s">
        <v>29</v>
      </c>
      <c r="B636" s="17">
        <v>134386.55384615384</v>
      </c>
    </row>
    <row r="637" spans="1:2" x14ac:dyDescent="0.3">
      <c r="A637" s="16" t="s">
        <v>59</v>
      </c>
      <c r="B637" s="17">
        <v>150674.52440677967</v>
      </c>
    </row>
    <row r="638" spans="1:2" x14ac:dyDescent="0.3">
      <c r="A638" s="16" t="s">
        <v>1089</v>
      </c>
      <c r="B638" s="17">
        <v>157109.94508771924</v>
      </c>
    </row>
    <row r="639" spans="1:2" x14ac:dyDescent="0.3">
      <c r="A639" s="16" t="s">
        <v>19</v>
      </c>
      <c r="B639" s="17">
        <v>168806.10370786514</v>
      </c>
    </row>
    <row r="640" spans="1:2" x14ac:dyDescent="0.3">
      <c r="A640" s="16" t="s">
        <v>50</v>
      </c>
      <c r="B640" s="17">
        <v>148867.81805970141</v>
      </c>
    </row>
    <row r="641" spans="1:2" x14ac:dyDescent="0.3">
      <c r="A641" s="16" t="s">
        <v>76</v>
      </c>
      <c r="B641" s="17">
        <v>153068.32380281694</v>
      </c>
    </row>
    <row r="642" spans="1:2" x14ac:dyDescent="0.3">
      <c r="A642" s="16" t="s">
        <v>98</v>
      </c>
      <c r="B642" s="17">
        <v>173245.04228070169</v>
      </c>
    </row>
    <row r="643" spans="1:2" x14ac:dyDescent="0.3">
      <c r="A643" s="16" t="s">
        <v>25</v>
      </c>
      <c r="B643" s="17">
        <v>156660.46305882357</v>
      </c>
    </row>
    <row r="644" spans="1:2" x14ac:dyDescent="0.3">
      <c r="A644" s="16" t="s">
        <v>1098</v>
      </c>
      <c r="B644" s="17"/>
    </row>
    <row r="645" spans="1:2" x14ac:dyDescent="0.3">
      <c r="A645" s="16" t="s">
        <v>1093</v>
      </c>
      <c r="B645" s="17">
        <v>155703.69929090934</v>
      </c>
    </row>
    <row r="651" spans="1:2" x14ac:dyDescent="0.3">
      <c r="A651" s="15" t="s">
        <v>1092</v>
      </c>
      <c r="B651" t="s">
        <v>1094</v>
      </c>
    </row>
    <row r="652" spans="1:2" x14ac:dyDescent="0.3">
      <c r="A652" s="16" t="s">
        <v>30</v>
      </c>
      <c r="B652" s="17">
        <v>881755670.63999963</v>
      </c>
    </row>
    <row r="653" spans="1:2" x14ac:dyDescent="0.3">
      <c r="A653" s="16" t="s">
        <v>11</v>
      </c>
      <c r="B653" s="17">
        <v>756889241.72200012</v>
      </c>
    </row>
    <row r="654" spans="1:2" x14ac:dyDescent="0.3">
      <c r="A654" s="16" t="s">
        <v>51</v>
      </c>
      <c r="B654" s="17">
        <v>826194109.56799996</v>
      </c>
    </row>
    <row r="655" spans="1:2" x14ac:dyDescent="0.3">
      <c r="A655" s="16" t="s">
        <v>1090</v>
      </c>
      <c r="B655" s="17">
        <v>793444278.3779999</v>
      </c>
    </row>
    <row r="656" spans="1:2" x14ac:dyDescent="0.3">
      <c r="A656" s="16" t="s">
        <v>15</v>
      </c>
      <c r="B656" s="17">
        <v>763752660.20000005</v>
      </c>
    </row>
    <row r="657" spans="1:2" x14ac:dyDescent="0.3">
      <c r="A657" s="16" t="s">
        <v>1098</v>
      </c>
      <c r="B657" s="17"/>
    </row>
    <row r="658" spans="1:2" x14ac:dyDescent="0.3">
      <c r="A658" s="16" t="s">
        <v>1093</v>
      </c>
      <c r="B658" s="17">
        <v>4022035960.5079994</v>
      </c>
    </row>
  </sheetData>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E5" sqref="E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nigerian messy data sales</vt:lpstr>
      <vt:lpstr>cleaned data</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Olalekan Akodu</dc:creator>
  <cp:lastModifiedBy>lekan</cp:lastModifiedBy>
  <dcterms:created xsi:type="dcterms:W3CDTF">2026-05-05T12:07:18Z</dcterms:created>
  <dcterms:modified xsi:type="dcterms:W3CDTF">2026-08-26T08:28:52Z</dcterms:modified>
</cp:coreProperties>
</file>